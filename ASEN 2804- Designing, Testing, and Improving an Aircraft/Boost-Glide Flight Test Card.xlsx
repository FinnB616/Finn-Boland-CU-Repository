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vka6412_colorado_edu/Documents/Classes/ASEN2804/Github/asen2804/"/>
    </mc:Choice>
  </mc:AlternateContent>
  <xr:revisionPtr revIDLastSave="244" documentId="8_{DF24DDE5-F458-4A34-9664-A180FCF7575F}" xr6:coauthVersionLast="47" xr6:coauthVersionMax="47" xr10:uidLastSave="{824BE0AC-F587-471A-B358-5399EF504577}"/>
  <bookViews>
    <workbookView xWindow="28680" yWindow="-120" windowWidth="29040" windowHeight="16440" xr2:uid="{00F3BF5D-5461-4555-9CBC-9AF48C2A5908}"/>
  </bookViews>
  <sheets>
    <sheet name="Glide Test Data Card" sheetId="1" r:id="rId1"/>
    <sheet name="Boost Test Data Card" sheetId="2" r:id="rId2"/>
  </sheets>
  <definedNames>
    <definedName name="_xlnm.Print_Area" localSheetId="1">'Boost Test Data Card'!$A$5:$Q$12</definedName>
    <definedName name="_xlnm.Print_Area" localSheetId="0">'Glide Test Data Card'!$A$5:$R$27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9" i="1"/>
  <c r="E8" i="1"/>
  <c r="D12" i="1"/>
  <c r="D11" i="1"/>
  <c r="D8" i="1"/>
  <c r="P9" i="2"/>
  <c r="P10" i="2"/>
  <c r="P11" i="2"/>
  <c r="P12" i="2"/>
  <c r="P8" i="2"/>
  <c r="O9" i="2"/>
  <c r="O10" i="2"/>
  <c r="O11" i="2"/>
  <c r="O12" i="2"/>
  <c r="O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O5" authorId="0" shapeId="0" xr:uid="{39E05D6A-EB51-49FB-8D7B-1C677ACA1B18}">
      <text>
        <r>
          <rPr>
            <b/>
            <sz val="9"/>
            <color indexed="81"/>
            <rFont val="Tahoma"/>
            <family val="2"/>
          </rPr>
          <t>John Mah:</t>
        </r>
        <r>
          <rPr>
            <sz val="9"/>
            <color indexed="81"/>
            <rFont val="Tahoma"/>
            <family val="2"/>
          </rPr>
          <t xml:space="preserve">
Multiple measured weight in grams by (Column B/1000)
*9.81</t>
        </r>
      </text>
    </comment>
    <comment ref="P5" authorId="0" shapeId="0" xr:uid="{A225C663-EE4E-4840-9393-0CEE7E9A1AE1}">
      <text>
        <r>
          <rPr>
            <b/>
            <sz val="9"/>
            <color indexed="81"/>
            <rFont val="Tahoma"/>
            <family val="2"/>
          </rPr>
          <t>John Mah:</t>
        </r>
        <r>
          <rPr>
            <sz val="9"/>
            <color indexed="81"/>
            <rFont val="Tahoma"/>
            <family val="2"/>
          </rPr>
          <t xml:space="preserve">
(Column J)*tan(Column M)</t>
        </r>
      </text>
    </comment>
  </commentList>
</comments>
</file>

<file path=xl/sharedStrings.xml><?xml version="1.0" encoding="utf-8"?>
<sst xmlns="http://schemas.openxmlformats.org/spreadsheetml/2006/main" count="107" uniqueCount="59">
  <si>
    <t>Flight Number</t>
  </si>
  <si>
    <t xml:space="preserve">Tail Incident or Elevon Deflection Angle </t>
  </si>
  <si>
    <t>(deg)</t>
  </si>
  <si>
    <t>Pre-Flight Glider Weight</t>
  </si>
  <si>
    <t>(g)</t>
  </si>
  <si>
    <t>Launch Height (m)</t>
  </si>
  <si>
    <t>(m)</t>
  </si>
  <si>
    <t>Flight Time</t>
  </si>
  <si>
    <t>(s)</t>
  </si>
  <si>
    <t>Flight L/D</t>
  </si>
  <si>
    <t>(m/s)</t>
  </si>
  <si>
    <t>Flight α</t>
  </si>
  <si>
    <t>Set Parameter</t>
  </si>
  <si>
    <t>Measured</t>
  </si>
  <si>
    <t>Calculated</t>
  </si>
  <si>
    <t>Wind Speed &amp; Direction</t>
  </si>
  <si>
    <t>Laser Ground Range</t>
  </si>
  <si>
    <t>GPS Ground Range</t>
  </si>
  <si>
    <t>Measured (Post-Flight)</t>
  </si>
  <si>
    <t>Atmospheric Pressure</t>
  </si>
  <si>
    <t>Atmospheric Temperature</t>
  </si>
  <si>
    <t>(deg F)</t>
  </si>
  <si>
    <t>(mm Hg)</t>
  </si>
  <si>
    <t>(mph &amp; deg)</t>
  </si>
  <si>
    <t>CG Location from Nose</t>
  </si>
  <si>
    <r>
      <t>Flight V</t>
    </r>
    <r>
      <rPr>
        <b/>
        <vertAlign val="subscript"/>
        <sz val="8"/>
        <color theme="0"/>
        <rFont val="Arial"/>
        <family val="2"/>
      </rPr>
      <t>trim</t>
    </r>
  </si>
  <si>
    <r>
      <t>Flight C</t>
    </r>
    <r>
      <rPr>
        <b/>
        <vertAlign val="subscript"/>
        <sz val="8"/>
        <color theme="0"/>
        <rFont val="Arial"/>
        <family val="2"/>
      </rPr>
      <t>L</t>
    </r>
  </si>
  <si>
    <r>
      <t>Flight C</t>
    </r>
    <r>
      <rPr>
        <b/>
        <vertAlign val="subscript"/>
        <sz val="8"/>
        <color theme="0"/>
        <rFont val="Arial"/>
        <family val="2"/>
      </rPr>
      <t>D</t>
    </r>
  </si>
  <si>
    <t>ASEN 2804 Glide Test Data Card</t>
  </si>
  <si>
    <t>ASEN 2804 Boost Test Data Card</t>
  </si>
  <si>
    <t>Water Volume</t>
  </si>
  <si>
    <t>CG Location from Nose (NO Water)</t>
  </si>
  <si>
    <t>(mL)</t>
  </si>
  <si>
    <t>Launch Elevation Angle</t>
  </si>
  <si>
    <t>Manual Apogee Angle</t>
  </si>
  <si>
    <t>(N)</t>
  </si>
  <si>
    <t>Aircraft Empty Weight 
(GPS but No Water)</t>
  </si>
  <si>
    <t>Manual Apogee Height Calc</t>
  </si>
  <si>
    <t>Distance from Manual Apogee Pt to 8 ft Height Pole</t>
  </si>
  <si>
    <t>Bottle Pressure</t>
  </si>
  <si>
    <t>(psi)</t>
  </si>
  <si>
    <t>Date</t>
  </si>
  <si>
    <t>Data .CSV Filename</t>
  </si>
  <si>
    <t>Get from TF/LA after returning data logger post-flight</t>
  </si>
  <si>
    <t>Barometer Altitude</t>
  </si>
  <si>
    <t>Observations / Alterations to prototype</t>
  </si>
  <si>
    <t>Reminder:  Submit this file to the Canvas Assignment at the end of flight test week</t>
  </si>
  <si>
    <t>1 K</t>
  </si>
  <si>
    <t>Team: 12</t>
  </si>
  <si>
    <t>Day1Group12Test1.CSV</t>
  </si>
  <si>
    <t>2 K</t>
  </si>
  <si>
    <t>3 C</t>
  </si>
  <si>
    <t>4 K</t>
  </si>
  <si>
    <t>5 C</t>
  </si>
  <si>
    <t>Day2Group12Test1.CSV</t>
  </si>
  <si>
    <t>Day2Group12Test3.CSV</t>
  </si>
  <si>
    <t>Seemed to have a ight phugoid mode.</t>
  </si>
  <si>
    <t>Decreased thickness @ max cord for vertical tail. Stalled after being thrown too hard. Almost recovered from stall right before impact</t>
  </si>
  <si>
    <t>Stalled after being thrown due to high tail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</si>
</sst>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theme="0"/>
      <name val="Arial"/>
      <family val="2"/>
    </font>
    <font>
      <b/>
      <vertAlign val="subscript"/>
      <sz val="8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/>
    <xf numFmtId="14" fontId="9" fillId="0" borderId="4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CEC1-5FDC-4F2B-AEA3-43C4A3B8508D}">
  <dimension ref="A1:S27"/>
  <sheetViews>
    <sheetView tabSelected="1" topLeftCell="H1" workbookViewId="0">
      <selection activeCell="S11" sqref="S11"/>
    </sheetView>
  </sheetViews>
  <sheetFormatPr defaultRowHeight="15" x14ac:dyDescent="0.25"/>
  <cols>
    <col min="1" max="1" width="10.140625" customWidth="1"/>
    <col min="2" max="2" width="17.42578125" customWidth="1"/>
    <col min="3" max="11" width="15.5703125" customWidth="1"/>
    <col min="12" max="12" width="16.140625" bestFit="1" customWidth="1"/>
    <col min="13" max="13" width="38.85546875" customWidth="1"/>
    <col min="14" max="18" width="15.5703125" customWidth="1"/>
    <col min="19" max="19" width="69" style="27" customWidth="1"/>
  </cols>
  <sheetData>
    <row r="1" spans="1:19" ht="28.5" x14ac:dyDescent="0.45">
      <c r="A1" s="16" t="s">
        <v>28</v>
      </c>
      <c r="B1" s="16"/>
    </row>
    <row r="2" spans="1:19" ht="18.75" x14ac:dyDescent="0.3">
      <c r="A2" s="15" t="s">
        <v>48</v>
      </c>
      <c r="B2" s="15"/>
    </row>
    <row r="3" spans="1:19" ht="18.75" x14ac:dyDescent="0.3">
      <c r="A3" s="28" t="s">
        <v>46</v>
      </c>
    </row>
    <row r="4" spans="1:19" ht="19.5" thickBot="1" x14ac:dyDescent="0.35">
      <c r="A4" s="28"/>
    </row>
    <row r="5" spans="1:19" ht="33.75" x14ac:dyDescent="0.25">
      <c r="A5" s="30" t="s">
        <v>0</v>
      </c>
      <c r="B5" s="17" t="s">
        <v>41</v>
      </c>
      <c r="C5" s="1" t="s">
        <v>1</v>
      </c>
      <c r="D5" s="1" t="s">
        <v>3</v>
      </c>
      <c r="E5" s="1" t="s">
        <v>24</v>
      </c>
      <c r="F5" s="5" t="s">
        <v>19</v>
      </c>
      <c r="G5" s="5" t="s">
        <v>20</v>
      </c>
      <c r="H5" s="5" t="s">
        <v>15</v>
      </c>
      <c r="I5" s="32" t="s">
        <v>5</v>
      </c>
      <c r="J5" s="8" t="s">
        <v>7</v>
      </c>
      <c r="K5" s="8" t="s">
        <v>16</v>
      </c>
      <c r="L5" s="25" t="s">
        <v>17</v>
      </c>
      <c r="M5" s="25" t="s">
        <v>42</v>
      </c>
      <c r="N5" s="11" t="s">
        <v>9</v>
      </c>
      <c r="O5" s="12" t="s">
        <v>25</v>
      </c>
      <c r="P5" s="11" t="s">
        <v>26</v>
      </c>
      <c r="Q5" s="11" t="s">
        <v>27</v>
      </c>
      <c r="R5" s="12" t="s">
        <v>11</v>
      </c>
      <c r="S5" s="12" t="s">
        <v>45</v>
      </c>
    </row>
    <row r="6" spans="1:19" ht="15.75" thickBot="1" x14ac:dyDescent="0.3">
      <c r="A6" s="31"/>
      <c r="B6" s="18"/>
      <c r="C6" s="2" t="s">
        <v>2</v>
      </c>
      <c r="D6" s="2" t="s">
        <v>4</v>
      </c>
      <c r="E6" s="2" t="s">
        <v>6</v>
      </c>
      <c r="F6" s="6" t="s">
        <v>22</v>
      </c>
      <c r="G6" s="6" t="s">
        <v>21</v>
      </c>
      <c r="H6" s="6" t="s">
        <v>23</v>
      </c>
      <c r="I6" s="33"/>
      <c r="J6" s="10" t="s">
        <v>8</v>
      </c>
      <c r="K6" s="10" t="s">
        <v>6</v>
      </c>
      <c r="L6" s="26" t="s">
        <v>6</v>
      </c>
      <c r="M6" s="26"/>
      <c r="N6" s="19"/>
      <c r="O6" s="14" t="s">
        <v>10</v>
      </c>
      <c r="P6" s="13"/>
      <c r="Q6" s="13"/>
      <c r="R6" s="14" t="s">
        <v>2</v>
      </c>
      <c r="S6" s="14"/>
    </row>
    <row r="7" spans="1:19" ht="23.25" thickBot="1" x14ac:dyDescent="0.3">
      <c r="A7" s="3"/>
      <c r="B7" s="4"/>
      <c r="C7" s="4" t="s">
        <v>12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18</v>
      </c>
      <c r="M7" s="4" t="s">
        <v>43</v>
      </c>
      <c r="N7" s="4" t="s">
        <v>14</v>
      </c>
      <c r="O7" s="4" t="s">
        <v>14</v>
      </c>
      <c r="P7" s="4" t="s">
        <v>14</v>
      </c>
      <c r="Q7" s="4" t="s">
        <v>14</v>
      </c>
      <c r="R7" s="4" t="s">
        <v>14</v>
      </c>
      <c r="S7" s="4"/>
    </row>
    <row r="8" spans="1:19" s="23" customFormat="1" ht="20.100000000000001" customHeight="1" thickBot="1" x14ac:dyDescent="0.25">
      <c r="A8" s="21" t="s">
        <v>47</v>
      </c>
      <c r="B8" s="29">
        <v>45755</v>
      </c>
      <c r="C8" s="22">
        <v>1</v>
      </c>
      <c r="D8" s="22">
        <f>283+134</f>
        <v>417</v>
      </c>
      <c r="E8" s="22">
        <f>((283*24.8)+(134*57.3))/(D8)</f>
        <v>35.243645083932854</v>
      </c>
      <c r="F8" s="22"/>
      <c r="G8" s="22"/>
      <c r="H8" s="22"/>
      <c r="I8" s="22">
        <v>16.07</v>
      </c>
      <c r="J8" s="22">
        <v>5.8</v>
      </c>
      <c r="K8" s="22">
        <v>61.9</v>
      </c>
      <c r="L8" s="22">
        <v>61.38</v>
      </c>
      <c r="M8" s="22" t="s">
        <v>49</v>
      </c>
      <c r="N8" s="22">
        <v>3.8210000000000002</v>
      </c>
      <c r="O8" s="22"/>
      <c r="P8" s="22"/>
      <c r="Q8" s="22"/>
      <c r="R8" s="22">
        <v>14.67</v>
      </c>
      <c r="S8" s="22" t="s">
        <v>56</v>
      </c>
    </row>
    <row r="9" spans="1:19" s="23" customFormat="1" ht="20.100000000000001" customHeight="1" thickBot="1" x14ac:dyDescent="0.25">
      <c r="A9" s="21" t="s">
        <v>50</v>
      </c>
      <c r="B9" s="29">
        <v>45756</v>
      </c>
      <c r="C9" s="22">
        <v>4</v>
      </c>
      <c r="D9" s="22">
        <v>414</v>
      </c>
      <c r="E9" s="22">
        <f>((282*24.8)+(132*57.3))/(D9)</f>
        <v>35.162318840579715</v>
      </c>
      <c r="F9" s="22"/>
      <c r="G9" s="22"/>
      <c r="H9" s="22"/>
      <c r="I9" s="22">
        <v>17.440000000000001</v>
      </c>
      <c r="J9" s="22"/>
      <c r="K9" s="22"/>
      <c r="L9" s="22">
        <v>29.38</v>
      </c>
      <c r="M9" s="22" t="s">
        <v>54</v>
      </c>
      <c r="N9" s="22">
        <v>1.679</v>
      </c>
      <c r="O9" s="22"/>
      <c r="P9" s="22"/>
      <c r="Q9" s="22"/>
      <c r="R9" s="22">
        <v>30.77</v>
      </c>
      <c r="S9" s="22" t="s">
        <v>57</v>
      </c>
    </row>
    <row r="10" spans="1:19" s="23" customFormat="1" ht="20.100000000000001" customHeight="1" thickBot="1" x14ac:dyDescent="0.25">
      <c r="A10" s="21" t="s">
        <v>51</v>
      </c>
      <c r="B10" s="29">
        <v>45756</v>
      </c>
      <c r="C10" s="22">
        <v>0</v>
      </c>
      <c r="D10" s="22">
        <v>290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s="23" customFormat="1" ht="20.100000000000001" customHeight="1" thickBot="1" x14ac:dyDescent="0.25">
      <c r="A11" s="21" t="s">
        <v>52</v>
      </c>
      <c r="B11" s="29">
        <v>45756</v>
      </c>
      <c r="C11" s="22">
        <v>10</v>
      </c>
      <c r="D11" s="22">
        <f>138+278</f>
        <v>416</v>
      </c>
      <c r="E11" s="22">
        <f>((278*24.8)+(138*57.3))/(D11)</f>
        <v>35.581249999999997</v>
      </c>
      <c r="F11" s="22"/>
      <c r="G11" s="22"/>
      <c r="H11" s="22"/>
      <c r="I11" s="22">
        <v>16.57</v>
      </c>
      <c r="J11" s="22"/>
      <c r="K11" s="22"/>
      <c r="L11" s="22">
        <v>16.079999999999998</v>
      </c>
      <c r="M11" s="22" t="s">
        <v>55</v>
      </c>
      <c r="N11" s="22">
        <v>0.97099999999999997</v>
      </c>
      <c r="O11" s="22"/>
      <c r="P11" s="22"/>
      <c r="Q11" s="22"/>
      <c r="R11" s="22">
        <v>45.84</v>
      </c>
      <c r="S11" s="22" t="s">
        <v>58</v>
      </c>
    </row>
    <row r="12" spans="1:19" s="23" customFormat="1" ht="20.100000000000001" customHeight="1" thickBot="1" x14ac:dyDescent="0.25">
      <c r="A12" s="21" t="s">
        <v>53</v>
      </c>
      <c r="B12" s="29">
        <v>45756</v>
      </c>
      <c r="C12" s="22">
        <v>5</v>
      </c>
      <c r="D12" s="22">
        <f>209+79</f>
        <v>288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19" s="23" customFormat="1" ht="20.100000000000001" customHeight="1" thickBot="1" x14ac:dyDescent="0.25">
      <c r="A13" s="21">
        <v>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 s="23" customFormat="1" ht="20.100000000000001" customHeight="1" thickBot="1" x14ac:dyDescent="0.25">
      <c r="A14" s="21">
        <v>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19" s="23" customFormat="1" ht="20.100000000000001" customHeight="1" thickBot="1" x14ac:dyDescent="0.25">
      <c r="A15" s="21">
        <v>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19" s="23" customFormat="1" ht="20.100000000000001" customHeight="1" thickBot="1" x14ac:dyDescent="0.25">
      <c r="A16" s="21">
        <v>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s="23" customFormat="1" ht="20.100000000000001" customHeight="1" thickBot="1" x14ac:dyDescent="0.25">
      <c r="A17" s="21">
        <v>10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s="23" customFormat="1" ht="20.100000000000001" customHeight="1" thickBot="1" x14ac:dyDescent="0.25">
      <c r="A18" s="21">
        <v>11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s="23" customFormat="1" ht="20.100000000000001" customHeight="1" thickBot="1" x14ac:dyDescent="0.25">
      <c r="A19" s="21">
        <v>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19" s="23" customFormat="1" ht="20.100000000000001" customHeight="1" thickBot="1" x14ac:dyDescent="0.25">
      <c r="A20" s="21">
        <v>13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 s="23" customFormat="1" ht="20.100000000000001" customHeight="1" thickBot="1" x14ac:dyDescent="0.25">
      <c r="A21" s="21">
        <v>14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19" s="23" customFormat="1" ht="20.100000000000001" customHeight="1" thickBot="1" x14ac:dyDescent="0.25">
      <c r="A22" s="21">
        <v>15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19" s="23" customFormat="1" ht="20.100000000000001" customHeight="1" thickBot="1" x14ac:dyDescent="0.25">
      <c r="A23" s="21">
        <v>16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s="23" customFormat="1" ht="20.100000000000001" customHeight="1" thickBot="1" x14ac:dyDescent="0.25">
      <c r="A24" s="21">
        <v>17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s="23" customFormat="1" ht="20.100000000000001" customHeight="1" thickBot="1" x14ac:dyDescent="0.25">
      <c r="A25" s="21">
        <v>18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s="23" customFormat="1" ht="20.100000000000001" customHeight="1" thickBot="1" x14ac:dyDescent="0.25">
      <c r="A26" s="21">
        <v>19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 s="23" customFormat="1" ht="20.100000000000001" customHeight="1" thickBot="1" x14ac:dyDescent="0.25">
      <c r="A27" s="21">
        <v>20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</sheetData>
  <mergeCells count="2">
    <mergeCell ref="A5:A6"/>
    <mergeCell ref="I5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4B6F-B698-4F3C-8696-3891F4ECC076}">
  <dimension ref="A1:Q27"/>
  <sheetViews>
    <sheetView workbookViewId="0">
      <selection activeCell="B10" sqref="B10"/>
    </sheetView>
  </sheetViews>
  <sheetFormatPr defaultRowHeight="15" x14ac:dyDescent="0.25"/>
  <cols>
    <col min="1" max="1" width="10.140625" customWidth="1"/>
    <col min="2" max="2" width="17.42578125" customWidth="1"/>
    <col min="3" max="11" width="15.5703125" customWidth="1"/>
    <col min="12" max="12" width="16.140625" bestFit="1" customWidth="1"/>
    <col min="13" max="13" width="18.42578125" customWidth="1"/>
    <col min="14" max="14" width="38.85546875" customWidth="1"/>
    <col min="15" max="15" width="16.85546875" customWidth="1"/>
    <col min="16" max="16" width="15.5703125" customWidth="1"/>
    <col min="17" max="17" width="88.85546875" style="27" customWidth="1"/>
  </cols>
  <sheetData>
    <row r="1" spans="1:17" ht="28.5" x14ac:dyDescent="0.45">
      <c r="A1" s="16" t="s">
        <v>29</v>
      </c>
      <c r="B1" s="16"/>
    </row>
    <row r="2" spans="1:17" ht="18.75" x14ac:dyDescent="0.3">
      <c r="A2" s="15" t="s">
        <v>48</v>
      </c>
      <c r="B2" s="15"/>
    </row>
    <row r="3" spans="1:17" ht="18.75" x14ac:dyDescent="0.3">
      <c r="A3" s="28" t="s">
        <v>46</v>
      </c>
      <c r="B3" s="15"/>
    </row>
    <row r="4" spans="1:17" ht="15.75" thickBot="1" x14ac:dyDescent="0.3"/>
    <row r="5" spans="1:17" ht="36.6" customHeight="1" x14ac:dyDescent="0.25">
      <c r="A5" s="30" t="s">
        <v>0</v>
      </c>
      <c r="B5" s="17" t="s">
        <v>41</v>
      </c>
      <c r="C5" s="1" t="s">
        <v>36</v>
      </c>
      <c r="D5" s="1" t="s">
        <v>31</v>
      </c>
      <c r="E5" s="1" t="s">
        <v>39</v>
      </c>
      <c r="F5" s="1" t="s">
        <v>30</v>
      </c>
      <c r="G5" s="5" t="s">
        <v>19</v>
      </c>
      <c r="H5" s="5" t="s">
        <v>20</v>
      </c>
      <c r="I5" s="5" t="s">
        <v>15</v>
      </c>
      <c r="J5" s="7" t="s">
        <v>33</v>
      </c>
      <c r="K5" s="8" t="s">
        <v>38</v>
      </c>
      <c r="L5" s="8" t="s">
        <v>34</v>
      </c>
      <c r="M5" s="25" t="s">
        <v>44</v>
      </c>
      <c r="N5" s="25" t="s">
        <v>42</v>
      </c>
      <c r="O5" s="20" t="s">
        <v>36</v>
      </c>
      <c r="P5" s="12" t="s">
        <v>37</v>
      </c>
      <c r="Q5" s="12" t="s">
        <v>45</v>
      </c>
    </row>
    <row r="6" spans="1:17" ht="15.75" thickBot="1" x14ac:dyDescent="0.3">
      <c r="A6" s="31"/>
      <c r="B6" s="18"/>
      <c r="C6" s="2" t="s">
        <v>4</v>
      </c>
      <c r="D6" s="2" t="s">
        <v>6</v>
      </c>
      <c r="E6" s="2" t="s">
        <v>40</v>
      </c>
      <c r="F6" s="2" t="s">
        <v>32</v>
      </c>
      <c r="G6" s="6" t="s">
        <v>22</v>
      </c>
      <c r="H6" s="6" t="s">
        <v>21</v>
      </c>
      <c r="I6" s="6" t="s">
        <v>23</v>
      </c>
      <c r="J6" s="9" t="s">
        <v>2</v>
      </c>
      <c r="K6" s="10" t="s">
        <v>6</v>
      </c>
      <c r="L6" s="10" t="s">
        <v>2</v>
      </c>
      <c r="M6" s="26" t="s">
        <v>6</v>
      </c>
      <c r="N6" s="26"/>
      <c r="O6" s="13" t="s">
        <v>35</v>
      </c>
      <c r="P6" s="14" t="s">
        <v>6</v>
      </c>
      <c r="Q6" s="19"/>
    </row>
    <row r="7" spans="1:17" ht="15.75" thickBot="1" x14ac:dyDescent="0.3">
      <c r="A7" s="3"/>
      <c r="B7" s="4"/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18</v>
      </c>
      <c r="N7" s="4" t="s">
        <v>43</v>
      </c>
      <c r="O7" s="4" t="s">
        <v>14</v>
      </c>
      <c r="P7" s="4" t="s">
        <v>14</v>
      </c>
      <c r="Q7" s="4"/>
    </row>
    <row r="8" spans="1:17" s="23" customFormat="1" ht="20.100000000000001" customHeight="1" thickBot="1" x14ac:dyDescent="0.25">
      <c r="A8" s="21">
        <v>1</v>
      </c>
      <c r="B8" s="29">
        <v>45757</v>
      </c>
      <c r="C8" s="22"/>
      <c r="D8" s="22"/>
      <c r="E8" s="22">
        <v>60</v>
      </c>
      <c r="F8" s="22">
        <v>600</v>
      </c>
      <c r="G8" s="22"/>
      <c r="H8" s="22"/>
      <c r="I8" s="22"/>
      <c r="J8" s="22"/>
      <c r="K8" s="22"/>
      <c r="L8" s="22"/>
      <c r="M8" s="22"/>
      <c r="N8" s="22"/>
      <c r="O8" s="22">
        <f>(C8/1000)*9.81</f>
        <v>0</v>
      </c>
      <c r="P8" s="22">
        <f>K8*TAN(L8)</f>
        <v>0</v>
      </c>
      <c r="Q8" s="22"/>
    </row>
    <row r="9" spans="1:17" s="23" customFormat="1" ht="20.100000000000001" customHeight="1" thickBot="1" x14ac:dyDescent="0.25">
      <c r="A9" s="21">
        <v>2</v>
      </c>
      <c r="B9" s="29">
        <v>45757</v>
      </c>
      <c r="C9" s="22"/>
      <c r="D9" s="22"/>
      <c r="E9" s="22">
        <v>60</v>
      </c>
      <c r="F9" s="22"/>
      <c r="G9" s="22"/>
      <c r="H9" s="22"/>
      <c r="I9" s="22"/>
      <c r="J9" s="22"/>
      <c r="K9" s="22"/>
      <c r="L9" s="22"/>
      <c r="M9" s="22"/>
      <c r="N9" s="22"/>
      <c r="O9" s="22">
        <f>(C9/1000)*9.81</f>
        <v>0</v>
      </c>
      <c r="P9" s="22">
        <f>K9*TAN(L9)</f>
        <v>0</v>
      </c>
      <c r="Q9" s="22"/>
    </row>
    <row r="10" spans="1:17" s="23" customFormat="1" ht="20.100000000000001" customHeight="1" thickBot="1" x14ac:dyDescent="0.25">
      <c r="A10" s="21">
        <v>3</v>
      </c>
      <c r="B10" s="22"/>
      <c r="C10" s="22"/>
      <c r="D10" s="22"/>
      <c r="E10" s="22">
        <v>60</v>
      </c>
      <c r="F10" s="22"/>
      <c r="G10" s="22"/>
      <c r="H10" s="22"/>
      <c r="I10" s="22"/>
      <c r="J10" s="22"/>
      <c r="K10" s="22"/>
      <c r="L10" s="22"/>
      <c r="M10" s="22"/>
      <c r="N10" s="22"/>
      <c r="O10" s="22">
        <f>(C10/1000)*9.81</f>
        <v>0</v>
      </c>
      <c r="P10" s="22">
        <f>K10*TAN(L10)</f>
        <v>0</v>
      </c>
      <c r="Q10" s="22"/>
    </row>
    <row r="11" spans="1:17" s="23" customFormat="1" ht="20.100000000000001" customHeight="1" thickBot="1" x14ac:dyDescent="0.25">
      <c r="A11" s="21">
        <v>4</v>
      </c>
      <c r="B11" s="22"/>
      <c r="C11" s="22"/>
      <c r="D11" s="22"/>
      <c r="E11" s="22">
        <v>60</v>
      </c>
      <c r="F11" s="22"/>
      <c r="G11" s="22"/>
      <c r="H11" s="22"/>
      <c r="I11" s="22"/>
      <c r="J11" s="22"/>
      <c r="K11" s="22"/>
      <c r="L11" s="22"/>
      <c r="M11" s="22"/>
      <c r="N11" s="22"/>
      <c r="O11" s="22">
        <f>(C11/1000)*9.81</f>
        <v>0</v>
      </c>
      <c r="P11" s="22">
        <f>K11*TAN(L11)</f>
        <v>0</v>
      </c>
      <c r="Q11" s="22"/>
    </row>
    <row r="12" spans="1:17" s="23" customFormat="1" ht="20.100000000000001" customHeight="1" thickBot="1" x14ac:dyDescent="0.25">
      <c r="A12" s="21">
        <v>5</v>
      </c>
      <c r="B12" s="22"/>
      <c r="C12" s="22"/>
      <c r="D12" s="22"/>
      <c r="E12" s="22">
        <v>60</v>
      </c>
      <c r="F12" s="22"/>
      <c r="G12" s="22"/>
      <c r="H12" s="22"/>
      <c r="I12" s="22"/>
      <c r="J12" s="22"/>
      <c r="K12" s="22"/>
      <c r="L12" s="22"/>
      <c r="M12" s="22"/>
      <c r="N12" s="22"/>
      <c r="O12" s="22">
        <f>(C12/1000)*9.81</f>
        <v>0</v>
      </c>
      <c r="P12" s="22">
        <f>K12*TAN(L12)</f>
        <v>0</v>
      </c>
      <c r="Q12" s="22"/>
    </row>
    <row r="13" spans="1:17" x14ac:dyDescent="0.25">
      <c r="B13" s="24"/>
      <c r="N13" s="24"/>
    </row>
    <row r="14" spans="1:17" x14ac:dyDescent="0.25">
      <c r="B14" s="24"/>
      <c r="N14" s="24"/>
    </row>
    <row r="15" spans="1:17" x14ac:dyDescent="0.25">
      <c r="B15" s="24"/>
      <c r="N15" s="24"/>
    </row>
    <row r="16" spans="1:17" x14ac:dyDescent="0.25">
      <c r="B16" s="24"/>
      <c r="N16" s="24"/>
    </row>
    <row r="17" spans="2:14" x14ac:dyDescent="0.25">
      <c r="B17" s="24"/>
      <c r="N17" s="24"/>
    </row>
    <row r="18" spans="2:14" x14ac:dyDescent="0.25">
      <c r="B18" s="24"/>
      <c r="N18" s="24"/>
    </row>
    <row r="19" spans="2:14" x14ac:dyDescent="0.25">
      <c r="B19" s="24"/>
      <c r="N19" s="24"/>
    </row>
    <row r="20" spans="2:14" x14ac:dyDescent="0.25">
      <c r="B20" s="24"/>
      <c r="N20" s="24"/>
    </row>
    <row r="21" spans="2:14" x14ac:dyDescent="0.25">
      <c r="B21" s="24"/>
      <c r="N21" s="24"/>
    </row>
    <row r="22" spans="2:14" x14ac:dyDescent="0.25">
      <c r="B22" s="24"/>
      <c r="N22" s="24"/>
    </row>
    <row r="23" spans="2:14" x14ac:dyDescent="0.25">
      <c r="B23" s="24"/>
      <c r="N23" s="24"/>
    </row>
    <row r="24" spans="2:14" x14ac:dyDescent="0.25">
      <c r="B24" s="24"/>
      <c r="N24" s="24"/>
    </row>
    <row r="25" spans="2:14" x14ac:dyDescent="0.25">
      <c r="B25" s="24"/>
      <c r="N25" s="24"/>
    </row>
    <row r="26" spans="2:14" x14ac:dyDescent="0.25">
      <c r="B26" s="24"/>
      <c r="N26" s="24"/>
    </row>
    <row r="27" spans="2:14" x14ac:dyDescent="0.25">
      <c r="B27" s="24"/>
      <c r="N27" s="24"/>
    </row>
  </sheetData>
  <mergeCells count="1">
    <mergeCell ref="A5:A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Glide Test Data Card</vt:lpstr>
      <vt:lpstr>Boost Test Data Card</vt:lpstr>
      <vt:lpstr>'Boost Test Data Card'!Print_Area</vt:lpstr>
      <vt:lpstr>'Glide Test Data Card'!Print_Area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Mah</dc:creator>
  <cp:lastModifiedBy>Evan Karen</cp:lastModifiedBy>
  <dcterms:created xsi:type="dcterms:W3CDTF">2023-04-04T23:15:42Z</dcterms:created>
  <dcterms:modified xsi:type="dcterms:W3CDTF">2025-04-13T04:53:45Z</dcterms:modified>
</cp:coreProperties>
</file>