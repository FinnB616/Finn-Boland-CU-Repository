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evka6412_colorado_edu/Documents/Classes/ASEN2804/Github/asen2804/Design Input Files/Trade Study Input Files/"/>
    </mc:Choice>
  </mc:AlternateContent>
  <xr:revisionPtr revIDLastSave="776" documentId="8_{AFF4C3D9-C692-49FD-80D7-37F0CF19DAE9}" xr6:coauthVersionLast="47" xr6:coauthVersionMax="47" xr10:uidLastSave="{76811CDC-0487-496C-81E9-8F97818FA06B}"/>
  <bookViews>
    <workbookView xWindow="13310" yWindow="0" windowWidth="12270" windowHeight="15240" firstSheet="1" activeTab="2" xr2:uid="{8F92E0EF-7E82-4DBA-A0D5-7EFE37AE0789}"/>
  </bookViews>
  <sheets>
    <sheet name="Trade Study 1" sheetId="1" r:id="rId1"/>
    <sheet name="Trade Study 2" sheetId="20" r:id="rId2"/>
    <sheet name="Trade Study 3" sheetId="17" r:id="rId3"/>
    <sheet name="Trade Study 4" sheetId="18" r:id="rId4"/>
    <sheet name="Trade Study 5" sheetId="19" r:id="rId5"/>
    <sheet name="STDATM" sheetId="8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0" l="1" a="1"/>
  <c r="B8" i="20" s="1"/>
  <c r="B7" i="20" a="1"/>
  <c r="B7" i="20" s="1"/>
  <c r="B6" i="20" a="1"/>
  <c r="B6" i="20" s="1"/>
  <c r="B8" i="19" a="1"/>
  <c r="B8" i="19" s="1"/>
  <c r="B7" i="19" a="1"/>
  <c r="B7" i="19" s="1"/>
  <c r="B6" i="19" a="1"/>
  <c r="B6" i="19" s="1"/>
  <c r="B8" i="18" a="1"/>
  <c r="B8" i="18" s="1"/>
  <c r="B7" i="18" a="1"/>
  <c r="B7" i="18" s="1"/>
  <c r="B6" i="18" a="1"/>
  <c r="B6" i="18" s="1"/>
  <c r="B8" i="1" a="1"/>
  <c r="B8" i="1" s="1"/>
  <c r="B7" i="1" a="1"/>
  <c r="B7" i="1" s="1"/>
  <c r="B6" i="1" a="1"/>
  <c r="B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Mah</author>
  </authors>
  <commentList>
    <comment ref="B33" authorId="0" shapeId="0" xr:uid="{8820507E-3496-40A7-9140-3368328D2841}">
      <text>
        <r>
          <rPr>
            <b/>
            <sz val="9"/>
            <color indexed="81"/>
            <rFont val="Tahoma"/>
            <charset val="1"/>
          </rPr>
          <t>John Mah:</t>
        </r>
        <r>
          <rPr>
            <sz val="9"/>
            <color indexed="81"/>
            <rFont val="Tahoma"/>
            <charset val="1"/>
          </rPr>
          <t xml:space="preserve">
User defined independent variable adjusting for in trade.  Can be single or multiple.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Mah</author>
  </authors>
  <commentList>
    <comment ref="B33" authorId="0" shapeId="0" xr:uid="{8637DCC7-1ADB-4E95-97CA-67B5355F46E3}">
      <text>
        <r>
          <rPr>
            <b/>
            <sz val="9"/>
            <color indexed="81"/>
            <rFont val="Tahoma"/>
            <charset val="1"/>
          </rPr>
          <t>John Mah:</t>
        </r>
        <r>
          <rPr>
            <sz val="9"/>
            <color indexed="81"/>
            <rFont val="Tahoma"/>
            <charset val="1"/>
          </rPr>
          <t xml:space="preserve">
User defined independent variable adjusting for in trade.  Can be single or multiple.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Mah</author>
  </authors>
  <commentList>
    <comment ref="B33" authorId="0" shapeId="0" xr:uid="{D728824F-C385-4988-958D-5913956DB007}">
      <text>
        <r>
          <rPr>
            <b/>
            <sz val="9"/>
            <color indexed="81"/>
            <rFont val="Tahoma"/>
            <charset val="1"/>
          </rPr>
          <t>John Mah:</t>
        </r>
        <r>
          <rPr>
            <sz val="9"/>
            <color indexed="81"/>
            <rFont val="Tahoma"/>
            <charset val="1"/>
          </rPr>
          <t xml:space="preserve">
User defined independent variable adjusting for in trade.  Can be single or multiple.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Mah</author>
  </authors>
  <commentList>
    <comment ref="B33" authorId="0" shapeId="0" xr:uid="{D26B07F1-61ED-49D9-9C91-0CF142F9AA99}">
      <text>
        <r>
          <rPr>
            <b/>
            <sz val="9"/>
            <color indexed="81"/>
            <rFont val="Tahoma"/>
            <charset val="1"/>
          </rPr>
          <t>John Mah:</t>
        </r>
        <r>
          <rPr>
            <sz val="9"/>
            <color indexed="81"/>
            <rFont val="Tahoma"/>
            <charset val="1"/>
          </rPr>
          <t xml:space="preserve">
User defined independent variable adjusting for in trade.  Can be single or multiple.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<sst xmlns="http://schemas.openxmlformats.org/spreadsheetml/2006/main" count="351" uniqueCount="155">
  <si>
    <t>Re</t>
  </si>
  <si>
    <t>Variable 1</t>
  </si>
  <si>
    <t>Test Case</t>
  </si>
  <si>
    <t>AR</t>
  </si>
  <si>
    <t>Sref</t>
  </si>
  <si>
    <t>deg</t>
  </si>
  <si>
    <t>Altitude</t>
  </si>
  <si>
    <t>Density</t>
  </si>
  <si>
    <t>Trade Study Data Capture</t>
  </si>
  <si>
    <t>Keep close tabs on iteration version for your aircraft as you go through your trade study iterations!</t>
  </si>
  <si>
    <t>Variable 2 (Optional)</t>
  </si>
  <si>
    <t>Required
Criteria 1</t>
  </si>
  <si>
    <t>Required
Criteria 3</t>
  </si>
  <si>
    <t>Required
Criteria 4</t>
  </si>
  <si>
    <t>Additional
Criteria 1</t>
  </si>
  <si>
    <t>Additional
Criteria 2</t>
  </si>
  <si>
    <t>Additional
Criteria 3</t>
  </si>
  <si>
    <t>Additional
Criteria 4</t>
  </si>
  <si>
    <t>Flight Conditions for Trade Study</t>
  </si>
  <si>
    <t>Design Variables held Constant for Trade Study</t>
  </si>
  <si>
    <t>Angle of Attack Range</t>
  </si>
  <si>
    <t>-5 deg to 12 deg</t>
  </si>
  <si>
    <t>Parameter</t>
  </si>
  <si>
    <t>Temperature</t>
  </si>
  <si>
    <t>Pressure</t>
  </si>
  <si>
    <t>Speed of sound</t>
  </si>
  <si>
    <t>Trade Study Name:</t>
  </si>
  <si>
    <t>Required Criteria 2</t>
  </si>
  <si>
    <t>m^2</t>
  </si>
  <si>
    <t>L.E. Sweep</t>
  </si>
  <si>
    <t>Taper Ratio</t>
  </si>
  <si>
    <t>[m]</t>
  </si>
  <si>
    <t>[Celsius]</t>
  </si>
  <si>
    <t>[pascal]</t>
  </si>
  <si>
    <t>[kg/m3]</t>
  </si>
  <si>
    <t>[m/s]</t>
  </si>
  <si>
    <t>Viscosity</t>
  </si>
  <si>
    <t>[N.s/m^2]</t>
  </si>
  <si>
    <t>Altitude (m) in 100 m increments</t>
  </si>
  <si>
    <t>Viscosity  (N*s/m^2)</t>
  </si>
  <si>
    <t>Speed of Sound (m/s)</t>
  </si>
  <si>
    <t>Density (kg/m^3)</t>
  </si>
  <si>
    <t>Velocity (m/s)</t>
  </si>
  <si>
    <t>W_empty</t>
  </si>
  <si>
    <t>Max Glide Range</t>
  </si>
  <si>
    <t>Glide Velocity</t>
  </si>
  <si>
    <t>Max Apogee</t>
  </si>
  <si>
    <t>Static Margin</t>
  </si>
  <si>
    <t>Horizontal Tail Vol Coefficient</t>
  </si>
  <si>
    <t>Vertical Tail Vol Coefficient</t>
  </si>
  <si>
    <t>Aircraft Baseline Configuration for Trade Study</t>
  </si>
  <si>
    <t>Fuselage Fineness Ratio</t>
  </si>
  <si>
    <t>Fuselage Max Diameter</t>
  </si>
  <si>
    <t>Fuselage Length</t>
  </si>
  <si>
    <t>Wing Version</t>
  </si>
  <si>
    <t>Fuselage  Version</t>
  </si>
  <si>
    <t>Control Surfaces / Stabilizers Version</t>
  </si>
  <si>
    <t>Overall Configuration Baseline Name</t>
  </si>
  <si>
    <t>Airfoil</t>
  </si>
  <si>
    <t>m</t>
  </si>
  <si>
    <t>The Karenator</t>
  </si>
  <si>
    <t>NACA 0012</t>
  </si>
  <si>
    <t>Wing 1</t>
  </si>
  <si>
    <t>Wing 2</t>
  </si>
  <si>
    <t>Wing 3</t>
  </si>
  <si>
    <t>Wing 4</t>
  </si>
  <si>
    <t>Wing 5</t>
  </si>
  <si>
    <t>Wing 6</t>
  </si>
  <si>
    <t>Wing 7</t>
  </si>
  <si>
    <t>Wing 8</t>
  </si>
  <si>
    <t>Root Chord Length (cm)</t>
  </si>
  <si>
    <t>Trade Study Name: Chord Length and Span</t>
  </si>
  <si>
    <t>Span (cm)</t>
  </si>
  <si>
    <t>Wing 9</t>
  </si>
  <si>
    <t>Wing 10</t>
  </si>
  <si>
    <t>Wing 11</t>
  </si>
  <si>
    <t>Wing 12</t>
  </si>
  <si>
    <t>Wing 13</t>
  </si>
  <si>
    <t>Wing 14</t>
  </si>
  <si>
    <t>2*10^-11</t>
  </si>
  <si>
    <t>2*10^-12</t>
  </si>
  <si>
    <t>Cessna 180</t>
  </si>
  <si>
    <t>0.089 m^2</t>
  </si>
  <si>
    <t>6.7 deg</t>
  </si>
  <si>
    <t>Not constant</t>
  </si>
  <si>
    <t>0.12 m</t>
  </si>
  <si>
    <t>0.625 m</t>
  </si>
  <si>
    <t>Vh</t>
  </si>
  <si>
    <t>AR h1</t>
  </si>
  <si>
    <t>V sink</t>
  </si>
  <si>
    <t>154.6 m</t>
  </si>
  <si>
    <t>10.52 m/s</t>
  </si>
  <si>
    <t>2.0549 N</t>
  </si>
  <si>
    <t>15.22 m</t>
  </si>
  <si>
    <t>1.0319 m/s</t>
  </si>
  <si>
    <t>153.5 m</t>
  </si>
  <si>
    <t>10.55 m/s</t>
  </si>
  <si>
    <t>2.0673 N</t>
  </si>
  <si>
    <t>15.18 m</t>
  </si>
  <si>
    <t>1.0386 m/s</t>
  </si>
  <si>
    <t>152.17 m</t>
  </si>
  <si>
    <t>10.59 m/s</t>
  </si>
  <si>
    <t>2.0797 N</t>
  </si>
  <si>
    <t>15.12 m</t>
  </si>
  <si>
    <t>1.0464 m/s</t>
  </si>
  <si>
    <t>150.97 m</t>
  </si>
  <si>
    <t>10.62 m/s</t>
  </si>
  <si>
    <t>2.0920 N</t>
  </si>
  <si>
    <t>15.07 m</t>
  </si>
  <si>
    <t>1.0543 m/s</t>
  </si>
  <si>
    <t>149.83 m</t>
  </si>
  <si>
    <t>10.65 m/s</t>
  </si>
  <si>
    <t>2.1044 N</t>
  </si>
  <si>
    <t>15.02 m</t>
  </si>
  <si>
    <t>1.0621 m/s</t>
  </si>
  <si>
    <t>148.63 m</t>
  </si>
  <si>
    <t>10.68 m/s</t>
  </si>
  <si>
    <t>2.1167 N</t>
  </si>
  <si>
    <t>14.97 m</t>
  </si>
  <si>
    <t>1.07 m/s</t>
  </si>
  <si>
    <t>147.47 m</t>
  </si>
  <si>
    <t>10.71 m/s</t>
  </si>
  <si>
    <t>2.1291 N</t>
  </si>
  <si>
    <t>14.92 m</t>
  </si>
  <si>
    <t>1.0779 m/s</t>
  </si>
  <si>
    <t>146.32 m</t>
  </si>
  <si>
    <t>10.74 m/s</t>
  </si>
  <si>
    <t>2.1415 N</t>
  </si>
  <si>
    <t>14.87 m</t>
  </si>
  <si>
    <t>1.0855 m/s</t>
  </si>
  <si>
    <t>145.31 m</t>
  </si>
  <si>
    <t>10.77 m/s</t>
  </si>
  <si>
    <t>2.1538 N</t>
  </si>
  <si>
    <t>14.82 m</t>
  </si>
  <si>
    <t>1.093 m/s</t>
  </si>
  <si>
    <t>144.22 m</t>
  </si>
  <si>
    <t>10.8 m/s</t>
  </si>
  <si>
    <t>2.1662 N</t>
  </si>
  <si>
    <t>14.77 m</t>
  </si>
  <si>
    <t>1.1005 m/s</t>
  </si>
  <si>
    <t>143.17 m</t>
  </si>
  <si>
    <t>10.83 m/s</t>
  </si>
  <si>
    <t>2.1785 N</t>
  </si>
  <si>
    <t>14.72 m</t>
  </si>
  <si>
    <t>1.1080 m/s</t>
  </si>
  <si>
    <t>pos. held constant as % of fuse. length</t>
  </si>
  <si>
    <t>Required</t>
  </si>
  <si>
    <t>Criteria 1</t>
  </si>
  <si>
    <t>Criteria 3</t>
  </si>
  <si>
    <t>Criteria 4</t>
  </si>
  <si>
    <t>Additional</t>
  </si>
  <si>
    <t>Criteria 2</t>
  </si>
  <si>
    <t>CDo_f</t>
  </si>
  <si>
    <t>i_t</t>
  </si>
  <si>
    <t>Trade Study Name: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</si>
</sst>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5" borderId="1" xfId="0" applyFont="1" applyFill="1" applyBorder="1" applyAlignment="1">
      <alignment horizontal="center"/>
    </xf>
    <xf numFmtId="0" fontId="3" fillId="6" borderId="0" xfId="0" applyFont="1" applyFill="1"/>
    <xf numFmtId="0" fontId="0" fillId="0" borderId="0" xfId="0" applyAlignment="1">
      <alignment horizontal="center"/>
    </xf>
    <xf numFmtId="0" fontId="2" fillId="5" borderId="1" xfId="0" applyFont="1" applyFill="1" applyBorder="1" applyAlignment="1">
      <alignment horizontal="center" wrapText="1"/>
    </xf>
    <xf numFmtId="0" fontId="2" fillId="7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 wrapText="1"/>
    </xf>
    <xf numFmtId="0" fontId="2" fillId="8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horizontal="center"/>
    </xf>
    <xf numFmtId="0" fontId="4" fillId="3" borderId="0" xfId="0" applyFont="1" applyFill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1" fontId="1" fillId="0" borderId="0" xfId="0" applyNumberFormat="1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0" fontId="9" fillId="10" borderId="0" xfId="0" applyFont="1" applyFill="1"/>
    <xf numFmtId="0" fontId="4" fillId="2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0" fillId="0" borderId="2" xfId="0" applyBorder="1"/>
    <xf numFmtId="0" fontId="4" fillId="2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5" fillId="6" borderId="0" xfId="0" applyFont="1" applyFill="1" applyAlignment="1">
      <alignment horizontal="left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11" fillId="11" borderId="0" xfId="0" applyFont="1" applyFill="1"/>
    <xf numFmtId="0" fontId="12" fillId="0" borderId="0" xfId="0" applyFont="1"/>
    <xf numFmtId="0" fontId="13" fillId="12" borderId="0" xfId="0" applyFont="1" applyFill="1" applyAlignment="1">
      <alignment horizontal="left"/>
    </xf>
    <xf numFmtId="0" fontId="12" fillId="12" borderId="0" xfId="0" applyFont="1" applyFill="1"/>
    <xf numFmtId="0" fontId="14" fillId="12" borderId="0" xfId="0" applyFont="1" applyFill="1" applyAlignment="1">
      <alignment horizontal="center"/>
    </xf>
    <xf numFmtId="0" fontId="12" fillId="0" borderId="0" xfId="0" applyFont="1" applyAlignment="1">
      <alignment horizontal="center" vertical="center"/>
    </xf>
    <xf numFmtId="11" fontId="12" fillId="0" borderId="0" xfId="0" applyNumberFormat="1" applyFont="1" applyAlignment="1">
      <alignment horizontal="center" vertical="center"/>
    </xf>
    <xf numFmtId="0" fontId="13" fillId="13" borderId="0" xfId="0" applyFont="1" applyFill="1"/>
    <xf numFmtId="0" fontId="12" fillId="13" borderId="0" xfId="0" applyFont="1" applyFill="1"/>
    <xf numFmtId="0" fontId="12" fillId="0" borderId="0" xfId="0" applyFont="1" applyAlignment="1">
      <alignment horizontal="center"/>
    </xf>
    <xf numFmtId="0" fontId="13" fillId="14" borderId="0" xfId="0" applyFont="1" applyFill="1" applyAlignment="1">
      <alignment horizontal="left"/>
    </xf>
    <xf numFmtId="0" fontId="12" fillId="14" borderId="0" xfId="0" applyFont="1" applyFill="1"/>
    <xf numFmtId="0" fontId="12" fillId="0" borderId="1" xfId="0" applyFont="1" applyBorder="1" applyAlignment="1">
      <alignment horizontal="center"/>
    </xf>
    <xf numFmtId="0" fontId="14" fillId="17" borderId="3" xfId="0" applyFont="1" applyFill="1" applyBorder="1" applyAlignment="1">
      <alignment horizontal="center" wrapText="1"/>
    </xf>
    <xf numFmtId="0" fontId="14" fillId="17" borderId="4" xfId="0" applyFont="1" applyFill="1" applyBorder="1" applyAlignment="1">
      <alignment horizontal="center" wrapText="1"/>
    </xf>
    <xf numFmtId="0" fontId="14" fillId="18" borderId="3" xfId="0" applyFont="1" applyFill="1" applyBorder="1" applyAlignment="1">
      <alignment horizontal="center" wrapText="1"/>
    </xf>
    <xf numFmtId="0" fontId="14" fillId="18" borderId="4" xfId="0" applyFont="1" applyFill="1" applyBorder="1" applyAlignment="1">
      <alignment horizontal="center" wrapText="1"/>
    </xf>
    <xf numFmtId="0" fontId="14" fillId="16" borderId="1" xfId="0" applyFont="1" applyFill="1" applyBorder="1" applyAlignment="1">
      <alignment horizontal="center"/>
    </xf>
    <xf numFmtId="0" fontId="14" fillId="19" borderId="1" xfId="0" applyFont="1" applyFill="1" applyBorder="1" applyAlignment="1">
      <alignment horizontal="center"/>
    </xf>
    <xf numFmtId="0" fontId="14" fillId="17" borderId="1" xfId="0" applyFont="1" applyFill="1" applyBorder="1" applyAlignment="1">
      <alignment horizontal="center"/>
    </xf>
    <xf numFmtId="0" fontId="14" fillId="18" borderId="1" xfId="0" applyFont="1" applyFill="1" applyBorder="1" applyAlignment="1">
      <alignment horizontal="center"/>
    </xf>
    <xf numFmtId="0" fontId="12" fillId="0" borderId="1" xfId="0" applyFont="1" applyBorder="1"/>
    <xf numFmtId="0" fontId="13" fillId="12" borderId="0" xfId="0" applyFont="1" applyFill="1" applyAlignment="1">
      <alignment horizontal="left"/>
    </xf>
    <xf numFmtId="0" fontId="13" fillId="14" borderId="0" xfId="0" applyFont="1" applyFill="1" applyAlignment="1">
      <alignment horizontal="left"/>
    </xf>
    <xf numFmtId="0" fontId="15" fillId="15" borderId="5" xfId="0" applyFont="1" applyFill="1" applyBorder="1" applyAlignment="1">
      <alignment horizontal="left"/>
    </xf>
    <xf numFmtId="0" fontId="14" fillId="16" borderId="3" xfId="0" applyFont="1" applyFill="1" applyBorder="1" applyAlignment="1">
      <alignment horizontal="center"/>
    </xf>
    <xf numFmtId="0" fontId="14" fillId="16" borderId="4" xfId="0" applyFont="1" applyFill="1" applyBorder="1" applyAlignment="1">
      <alignment horizontal="center"/>
    </xf>
    <xf numFmtId="0" fontId="14" fillId="16" borderId="3" xfId="0" applyFont="1" applyFill="1" applyBorder="1" applyAlignment="1">
      <alignment horizontal="center" wrapText="1"/>
    </xf>
    <xf numFmtId="0" fontId="14" fillId="16" borderId="4" xfId="0" applyFont="1" applyFill="1" applyBorder="1" applyAlignment="1">
      <alignment horizontal="center" wrapText="1"/>
    </xf>
    <xf numFmtId="0" fontId="14" fillId="17" borderId="3" xfId="0" applyFont="1" applyFill="1" applyBorder="1" applyAlignment="1">
      <alignment horizontal="center" wrapText="1"/>
    </xf>
    <xf numFmtId="0" fontId="14" fillId="17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van\Downloads\ASEN%202804%20Trade%20Study%20Test%20Matrix%20Evan1.xlsx" TargetMode="External"/><Relationship Id="rId1" Type="http://schemas.openxmlformats.org/officeDocument/2006/relationships/externalLinkPath" Target="file:///C:\Users\evan\Downloads\ASEN%202804%20Trade%20Study%20Test%20Matrix%20Evan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ade Study 1"/>
      <sheetName val="Trade Study 2"/>
      <sheetName val="Trade Study 3"/>
      <sheetName val="Trade Study 4"/>
      <sheetName val="Trade Study 5"/>
      <sheetName val="STDAT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3">
          <cell r="A3">
            <v>0</v>
          </cell>
          <cell r="D3">
            <v>1.2250000000000001</v>
          </cell>
          <cell r="E3">
            <v>340.29399999999998</v>
          </cell>
          <cell r="F3">
            <v>1.8120600000000001E-5</v>
          </cell>
        </row>
        <row r="4">
          <cell r="A4">
            <v>100</v>
          </cell>
          <cell r="D4">
            <v>1.2132799999999999</v>
          </cell>
          <cell r="E4">
            <v>339.91</v>
          </cell>
          <cell r="F4">
            <v>1.8088100000000001E-5</v>
          </cell>
        </row>
        <row r="5">
          <cell r="A5">
            <v>200</v>
          </cell>
          <cell r="D5">
            <v>1.2016500000000001</v>
          </cell>
          <cell r="E5">
            <v>339.52600000000001</v>
          </cell>
          <cell r="F5">
            <v>1.80556E-5</v>
          </cell>
        </row>
        <row r="6">
          <cell r="A6">
            <v>300</v>
          </cell>
          <cell r="D6">
            <v>1.19011</v>
          </cell>
          <cell r="E6">
            <v>339.14100000000002</v>
          </cell>
          <cell r="F6">
            <v>1.8023E-5</v>
          </cell>
        </row>
        <row r="7">
          <cell r="A7">
            <v>400</v>
          </cell>
          <cell r="D7">
            <v>1.1786399999999999</v>
          </cell>
          <cell r="E7">
            <v>338.755</v>
          </cell>
          <cell r="F7">
            <v>1.79905E-5</v>
          </cell>
        </row>
        <row r="8">
          <cell r="A8">
            <v>500</v>
          </cell>
          <cell r="D8">
            <v>1.16727</v>
          </cell>
          <cell r="E8">
            <v>338.37</v>
          </cell>
          <cell r="F8">
            <v>1.79579E-5</v>
          </cell>
        </row>
        <row r="9">
          <cell r="A9">
            <v>600</v>
          </cell>
          <cell r="D9">
            <v>1.15598</v>
          </cell>
          <cell r="E9">
            <v>337.983</v>
          </cell>
          <cell r="F9">
            <v>1.7925199999999999E-5</v>
          </cell>
        </row>
        <row r="10">
          <cell r="A10">
            <v>700</v>
          </cell>
          <cell r="D10">
            <v>1.1447700000000001</v>
          </cell>
          <cell r="E10">
            <v>337.59699999999998</v>
          </cell>
          <cell r="F10">
            <v>1.7892499999999999E-5</v>
          </cell>
        </row>
        <row r="11">
          <cell r="A11">
            <v>800</v>
          </cell>
          <cell r="D11">
            <v>1.13364</v>
          </cell>
          <cell r="E11">
            <v>337.21</v>
          </cell>
          <cell r="F11">
            <v>1.7859800000000001E-5</v>
          </cell>
        </row>
        <row r="12">
          <cell r="A12">
            <v>900</v>
          </cell>
          <cell r="D12">
            <v>1.1226</v>
          </cell>
          <cell r="E12">
            <v>336.822</v>
          </cell>
          <cell r="F12">
            <v>1.7827100000000001E-5</v>
          </cell>
        </row>
        <row r="13">
          <cell r="A13">
            <v>1000</v>
          </cell>
          <cell r="D13">
            <v>1.11164</v>
          </cell>
          <cell r="E13">
            <v>336.43400000000003</v>
          </cell>
          <cell r="F13">
            <v>1.77943E-5</v>
          </cell>
        </row>
        <row r="14">
          <cell r="A14">
            <v>1100</v>
          </cell>
          <cell r="D14">
            <v>1.10077</v>
          </cell>
          <cell r="E14">
            <v>336.04599999999999</v>
          </cell>
          <cell r="F14">
            <v>1.7761499999999999E-5</v>
          </cell>
        </row>
        <row r="15">
          <cell r="A15">
            <v>1200</v>
          </cell>
          <cell r="D15">
            <v>1.0899700000000001</v>
          </cell>
          <cell r="E15">
            <v>335.65699999999998</v>
          </cell>
          <cell r="F15">
            <v>1.7728600000000002E-5</v>
          </cell>
        </row>
        <row r="16">
          <cell r="A16">
            <v>1300</v>
          </cell>
          <cell r="D16">
            <v>1.07925</v>
          </cell>
          <cell r="E16">
            <v>335.267</v>
          </cell>
          <cell r="F16">
            <v>1.7695700000000001E-5</v>
          </cell>
        </row>
        <row r="17">
          <cell r="A17">
            <v>1400</v>
          </cell>
          <cell r="D17">
            <v>1.0686199999999999</v>
          </cell>
          <cell r="E17">
            <v>334.87799999999999</v>
          </cell>
          <cell r="F17">
            <v>1.76628E-5</v>
          </cell>
        </row>
        <row r="18">
          <cell r="A18">
            <v>1500</v>
          </cell>
          <cell r="D18">
            <v>1.0580700000000001</v>
          </cell>
          <cell r="E18">
            <v>334.48700000000002</v>
          </cell>
          <cell r="F18">
            <v>1.7629799999999998E-5</v>
          </cell>
        </row>
        <row r="19">
          <cell r="A19">
            <v>1600</v>
          </cell>
          <cell r="D19">
            <v>1.04759</v>
          </cell>
          <cell r="E19">
            <v>334.09699999999998</v>
          </cell>
          <cell r="F19">
            <v>1.7596800000000001E-5</v>
          </cell>
        </row>
        <row r="20">
          <cell r="A20">
            <v>1700</v>
          </cell>
          <cell r="D20">
            <v>1.0371999999999999</v>
          </cell>
          <cell r="E20">
            <v>333.70499999999998</v>
          </cell>
          <cell r="F20">
            <v>1.7563799999999999E-5</v>
          </cell>
        </row>
        <row r="21">
          <cell r="A21">
            <v>1800</v>
          </cell>
          <cell r="D21">
            <v>1.02688</v>
          </cell>
          <cell r="E21">
            <v>333.31400000000002</v>
          </cell>
          <cell r="F21">
            <v>1.7530700000000001E-5</v>
          </cell>
        </row>
        <row r="22">
          <cell r="A22">
            <v>1900</v>
          </cell>
          <cell r="D22">
            <v>1.0166500000000001</v>
          </cell>
          <cell r="E22">
            <v>332.92200000000003</v>
          </cell>
          <cell r="F22">
            <v>1.74976E-5</v>
          </cell>
        </row>
        <row r="23">
          <cell r="A23">
            <v>2000</v>
          </cell>
          <cell r="D23">
            <v>1.0064900000000001</v>
          </cell>
          <cell r="E23">
            <v>332.529</v>
          </cell>
          <cell r="F23">
            <v>1.7464499999999999E-5</v>
          </cell>
        </row>
        <row r="24">
          <cell r="A24">
            <v>2100</v>
          </cell>
          <cell r="D24">
            <v>0.99641000000000002</v>
          </cell>
          <cell r="E24">
            <v>332.13600000000002</v>
          </cell>
          <cell r="F24">
            <v>1.74313E-5</v>
          </cell>
        </row>
        <row r="25">
          <cell r="A25">
            <v>2200</v>
          </cell>
          <cell r="D25">
            <v>0.98640700000000003</v>
          </cell>
          <cell r="E25">
            <v>331.74299999999999</v>
          </cell>
          <cell r="F25">
            <v>1.7398099999999999E-5</v>
          </cell>
        </row>
        <row r="26">
          <cell r="A26">
            <v>2300</v>
          </cell>
          <cell r="D26">
            <v>0.97648100000000004</v>
          </cell>
          <cell r="E26">
            <v>331.34899999999999</v>
          </cell>
          <cell r="F26">
            <v>1.73649E-5</v>
          </cell>
        </row>
        <row r="27">
          <cell r="A27">
            <v>2400</v>
          </cell>
          <cell r="D27">
            <v>0.96663200000000005</v>
          </cell>
          <cell r="E27">
            <v>330.95400000000001</v>
          </cell>
          <cell r="F27">
            <v>1.7331599999999999E-5</v>
          </cell>
        </row>
        <row r="28">
          <cell r="A28">
            <v>2500</v>
          </cell>
          <cell r="D28">
            <v>0.95685900000000002</v>
          </cell>
          <cell r="E28">
            <v>330.56</v>
          </cell>
          <cell r="F28">
            <v>1.72983E-5</v>
          </cell>
        </row>
        <row r="29">
          <cell r="A29">
            <v>2600</v>
          </cell>
          <cell r="D29">
            <v>0.94716199999999995</v>
          </cell>
          <cell r="E29">
            <v>330.16399999999999</v>
          </cell>
          <cell r="F29">
            <v>1.7264900000000001E-5</v>
          </cell>
        </row>
        <row r="30">
          <cell r="A30">
            <v>2700</v>
          </cell>
          <cell r="D30">
            <v>0.93754000000000004</v>
          </cell>
          <cell r="E30">
            <v>329.76799999999997</v>
          </cell>
          <cell r="F30">
            <v>1.7231499999999999E-5</v>
          </cell>
        </row>
        <row r="31">
          <cell r="A31">
            <v>2800</v>
          </cell>
          <cell r="D31">
            <v>0.92799299999999996</v>
          </cell>
          <cell r="E31">
            <v>329.37200000000001</v>
          </cell>
          <cell r="F31">
            <v>1.7198100000000001E-5</v>
          </cell>
        </row>
        <row r="32">
          <cell r="A32">
            <v>2900</v>
          </cell>
          <cell r="D32">
            <v>0.91852</v>
          </cell>
          <cell r="E32">
            <v>328.97500000000002</v>
          </cell>
          <cell r="F32">
            <v>1.7164600000000002E-5</v>
          </cell>
        </row>
        <row r="33">
          <cell r="A33">
            <v>3000</v>
          </cell>
          <cell r="D33">
            <v>0.90912199999999999</v>
          </cell>
          <cell r="E33">
            <v>328.57799999999997</v>
          </cell>
          <cell r="F33">
            <v>1.7131099999999999E-5</v>
          </cell>
        </row>
        <row r="34">
          <cell r="A34">
            <v>3100</v>
          </cell>
          <cell r="D34">
            <v>0.89979799999999999</v>
          </cell>
          <cell r="E34">
            <v>328.18</v>
          </cell>
          <cell r="F34">
            <v>1.70976E-5</v>
          </cell>
        </row>
        <row r="35">
          <cell r="A35">
            <v>3200</v>
          </cell>
          <cell r="D35">
            <v>0.89054599999999995</v>
          </cell>
          <cell r="E35">
            <v>327.78199999999998</v>
          </cell>
          <cell r="F35">
            <v>1.7064000000000001E-5</v>
          </cell>
        </row>
        <row r="36">
          <cell r="A36">
            <v>3300</v>
          </cell>
          <cell r="D36">
            <v>0.88136800000000004</v>
          </cell>
          <cell r="E36">
            <v>327.38299999999998</v>
          </cell>
          <cell r="F36">
            <v>1.7030399999999999E-5</v>
          </cell>
        </row>
        <row r="37">
          <cell r="A37">
            <v>3400</v>
          </cell>
          <cell r="D37">
            <v>0.87226199999999998</v>
          </cell>
          <cell r="E37">
            <v>326.98399999999998</v>
          </cell>
          <cell r="F37">
            <v>1.6996699999999999E-5</v>
          </cell>
        </row>
        <row r="38">
          <cell r="A38">
            <v>3500</v>
          </cell>
          <cell r="D38">
            <v>0.86322900000000002</v>
          </cell>
          <cell r="E38">
            <v>326.584</v>
          </cell>
          <cell r="F38">
            <v>1.6963E-5</v>
          </cell>
        </row>
        <row r="39">
          <cell r="A39">
            <v>3600</v>
          </cell>
          <cell r="D39">
            <v>0.854267</v>
          </cell>
          <cell r="E39">
            <v>326.18400000000003</v>
          </cell>
          <cell r="F39">
            <v>1.6929300000000001E-5</v>
          </cell>
        </row>
        <row r="40">
          <cell r="A40">
            <v>3700</v>
          </cell>
          <cell r="D40">
            <v>0.84537700000000005</v>
          </cell>
          <cell r="E40">
            <v>325.78399999999999</v>
          </cell>
          <cell r="F40">
            <v>1.6895500000000001E-5</v>
          </cell>
        </row>
        <row r="41">
          <cell r="A41">
            <v>3800</v>
          </cell>
          <cell r="D41">
            <v>0.836557</v>
          </cell>
          <cell r="E41">
            <v>325.38200000000001</v>
          </cell>
          <cell r="F41">
            <v>1.6861700000000002E-5</v>
          </cell>
        </row>
        <row r="42">
          <cell r="A42">
            <v>3900</v>
          </cell>
          <cell r="D42">
            <v>0.82780799999999999</v>
          </cell>
          <cell r="E42">
            <v>324.98099999999999</v>
          </cell>
          <cell r="F42">
            <v>1.6827899999999999E-5</v>
          </cell>
        </row>
        <row r="43">
          <cell r="A43">
            <v>4000</v>
          </cell>
          <cell r="D43">
            <v>0.819129</v>
          </cell>
          <cell r="E43">
            <v>324.57900000000001</v>
          </cell>
          <cell r="F43">
            <v>1.6793999999999999E-5</v>
          </cell>
        </row>
        <row r="44">
          <cell r="A44">
            <v>4100</v>
          </cell>
          <cell r="D44">
            <v>0.81052000000000002</v>
          </cell>
          <cell r="E44">
            <v>324.17599999999999</v>
          </cell>
          <cell r="F44">
            <v>1.6760099999999999E-5</v>
          </cell>
        </row>
        <row r="45">
          <cell r="A45">
            <v>4200</v>
          </cell>
          <cell r="D45">
            <v>0.80198100000000005</v>
          </cell>
          <cell r="E45">
            <v>323.77300000000002</v>
          </cell>
          <cell r="F45">
            <v>1.6726099999999999E-5</v>
          </cell>
        </row>
        <row r="46">
          <cell r="A46">
            <v>4300</v>
          </cell>
          <cell r="D46">
            <v>0.79351000000000005</v>
          </cell>
          <cell r="E46">
            <v>323.36900000000003</v>
          </cell>
          <cell r="F46">
            <v>1.6692199999999999E-5</v>
          </cell>
        </row>
        <row r="47">
          <cell r="A47">
            <v>4400</v>
          </cell>
          <cell r="D47">
            <v>0.78510800000000003</v>
          </cell>
          <cell r="E47">
            <v>322.96499999999997</v>
          </cell>
          <cell r="F47">
            <v>1.6658099999999999E-5</v>
          </cell>
        </row>
        <row r="48">
          <cell r="A48">
            <v>4500</v>
          </cell>
          <cell r="D48">
            <v>0.77677499999999999</v>
          </cell>
          <cell r="E48">
            <v>322.56</v>
          </cell>
          <cell r="F48">
            <v>1.6624099999999999E-5</v>
          </cell>
        </row>
        <row r="49">
          <cell r="A49">
            <v>4600</v>
          </cell>
          <cell r="D49">
            <v>0.768509</v>
          </cell>
          <cell r="E49">
            <v>322.15499999999997</v>
          </cell>
          <cell r="F49">
            <v>1.6589999999999999E-5</v>
          </cell>
        </row>
        <row r="50">
          <cell r="A50">
            <v>4700</v>
          </cell>
          <cell r="D50">
            <v>0.76031000000000004</v>
          </cell>
          <cell r="E50">
            <v>321.75</v>
          </cell>
          <cell r="F50">
            <v>1.6555800000000002E-5</v>
          </cell>
        </row>
        <row r="51">
          <cell r="A51">
            <v>4800</v>
          </cell>
          <cell r="D51">
            <v>0.75217900000000004</v>
          </cell>
          <cell r="E51">
            <v>321.34300000000002</v>
          </cell>
          <cell r="F51">
            <v>1.6521600000000001E-5</v>
          </cell>
        </row>
        <row r="52">
          <cell r="A52">
            <v>4900</v>
          </cell>
          <cell r="D52">
            <v>0.74411400000000005</v>
          </cell>
          <cell r="E52">
            <v>320.93700000000001</v>
          </cell>
          <cell r="F52">
            <v>1.6487400000000001E-5</v>
          </cell>
        </row>
        <row r="53">
          <cell r="A53">
            <v>5000</v>
          </cell>
          <cell r="D53">
            <v>0.73611599999999999</v>
          </cell>
          <cell r="E53">
            <v>320.529</v>
          </cell>
          <cell r="F53">
            <v>1.64531E-5</v>
          </cell>
        </row>
        <row r="54">
          <cell r="A54">
            <v>5100</v>
          </cell>
          <cell r="D54">
            <v>0.72818300000000002</v>
          </cell>
          <cell r="E54">
            <v>320.12200000000001</v>
          </cell>
          <cell r="F54">
            <v>1.6418799999999999E-5</v>
          </cell>
        </row>
        <row r="55">
          <cell r="A55">
            <v>5200</v>
          </cell>
          <cell r="D55">
            <v>0.72031699999999999</v>
          </cell>
          <cell r="E55">
            <v>319.71300000000002</v>
          </cell>
          <cell r="F55">
            <v>1.6384499999999999E-5</v>
          </cell>
        </row>
        <row r="56">
          <cell r="A56">
            <v>5300</v>
          </cell>
          <cell r="D56">
            <v>0.71251500000000001</v>
          </cell>
          <cell r="E56">
            <v>319.30500000000001</v>
          </cell>
          <cell r="F56">
            <v>1.6350100000000001E-5</v>
          </cell>
        </row>
        <row r="57">
          <cell r="A57">
            <v>5400</v>
          </cell>
          <cell r="D57">
            <v>0.70477800000000002</v>
          </cell>
          <cell r="E57">
            <v>318.89499999999998</v>
          </cell>
          <cell r="F57">
            <v>1.63157E-5</v>
          </cell>
        </row>
        <row r="58">
          <cell r="A58">
            <v>5500</v>
          </cell>
          <cell r="D58">
            <v>0.697106</v>
          </cell>
          <cell r="E58">
            <v>318.48599999999999</v>
          </cell>
          <cell r="F58">
            <v>1.6281299999999999E-5</v>
          </cell>
        </row>
        <row r="59">
          <cell r="A59">
            <v>5600</v>
          </cell>
          <cell r="D59">
            <v>0.68949700000000003</v>
          </cell>
          <cell r="E59">
            <v>318.07499999999999</v>
          </cell>
          <cell r="F59">
            <v>1.6246799999999998E-5</v>
          </cell>
        </row>
        <row r="60">
          <cell r="A60">
            <v>5700</v>
          </cell>
          <cell r="D60">
            <v>0.68195300000000003</v>
          </cell>
          <cell r="E60">
            <v>317.66399999999999</v>
          </cell>
          <cell r="F60">
            <v>1.62122E-5</v>
          </cell>
        </row>
        <row r="61">
          <cell r="A61">
            <v>5800</v>
          </cell>
          <cell r="D61">
            <v>0.67447100000000004</v>
          </cell>
          <cell r="E61">
            <v>317.25299999999999</v>
          </cell>
          <cell r="F61">
            <v>1.6177699999999999E-5</v>
          </cell>
        </row>
        <row r="62">
          <cell r="A62">
            <v>5900</v>
          </cell>
          <cell r="D62">
            <v>0.66705300000000001</v>
          </cell>
          <cell r="E62">
            <v>316.84100000000001</v>
          </cell>
          <cell r="F62">
            <v>1.6143000000000001E-5</v>
          </cell>
        </row>
        <row r="63">
          <cell r="A63">
            <v>6000</v>
          </cell>
          <cell r="D63">
            <v>0.65969699999999998</v>
          </cell>
          <cell r="E63">
            <v>316.428</v>
          </cell>
          <cell r="F63">
            <v>1.61084E-5</v>
          </cell>
        </row>
        <row r="64">
          <cell r="A64">
            <v>6100</v>
          </cell>
          <cell r="D64">
            <v>0.65240399999999998</v>
          </cell>
          <cell r="E64">
            <v>316.01499999999999</v>
          </cell>
          <cell r="F64">
            <v>1.6073700000000002E-5</v>
          </cell>
        </row>
        <row r="65">
          <cell r="A65">
            <v>6200</v>
          </cell>
          <cell r="D65">
            <v>0.64517199999999997</v>
          </cell>
          <cell r="E65">
            <v>315.60199999999998</v>
          </cell>
          <cell r="F65">
            <v>1.6039E-5</v>
          </cell>
        </row>
        <row r="66">
          <cell r="A66">
            <v>6300</v>
          </cell>
          <cell r="D66">
            <v>0.63800199999999996</v>
          </cell>
          <cell r="E66">
            <v>315.18799999999999</v>
          </cell>
          <cell r="F66">
            <v>1.6004199999999998E-5</v>
          </cell>
        </row>
        <row r="67">
          <cell r="A67">
            <v>6400</v>
          </cell>
          <cell r="D67">
            <v>0.63089200000000001</v>
          </cell>
          <cell r="E67">
            <v>314.77300000000002</v>
          </cell>
          <cell r="F67">
            <v>1.59694E-5</v>
          </cell>
        </row>
        <row r="68">
          <cell r="A68">
            <v>6500</v>
          </cell>
          <cell r="D68">
            <v>0.62384399999999995</v>
          </cell>
          <cell r="E68">
            <v>314.358</v>
          </cell>
          <cell r="F68">
            <v>1.5934500000000001E-5</v>
          </cell>
        </row>
        <row r="69">
          <cell r="A69">
            <v>6600</v>
          </cell>
          <cell r="D69">
            <v>0.61685599999999996</v>
          </cell>
          <cell r="E69">
            <v>313.94200000000001</v>
          </cell>
          <cell r="F69">
            <v>1.5899599999999999E-5</v>
          </cell>
        </row>
        <row r="70">
          <cell r="A70">
            <v>6700</v>
          </cell>
          <cell r="D70">
            <v>0.60992800000000003</v>
          </cell>
          <cell r="E70">
            <v>313.52600000000001</v>
          </cell>
          <cell r="F70">
            <v>1.5864700000000001E-5</v>
          </cell>
        </row>
        <row r="71">
          <cell r="A71">
            <v>6800</v>
          </cell>
          <cell r="D71">
            <v>0.60306000000000004</v>
          </cell>
          <cell r="E71">
            <v>313.10899999999998</v>
          </cell>
          <cell r="F71">
            <v>1.5829699999999999E-5</v>
          </cell>
        </row>
        <row r="72">
          <cell r="A72">
            <v>6900</v>
          </cell>
          <cell r="D72">
            <v>0.59625099999999998</v>
          </cell>
          <cell r="E72">
            <v>312.69200000000001</v>
          </cell>
          <cell r="F72">
            <v>1.57947E-5</v>
          </cell>
        </row>
        <row r="73">
          <cell r="A73">
            <v>7000</v>
          </cell>
          <cell r="D73">
            <v>0.58950100000000005</v>
          </cell>
          <cell r="E73">
            <v>312.274</v>
          </cell>
          <cell r="F73">
            <v>1.5759600000000001E-5</v>
          </cell>
        </row>
        <row r="74">
          <cell r="A74">
            <v>7100</v>
          </cell>
          <cell r="D74">
            <v>0.58281000000000005</v>
          </cell>
          <cell r="E74">
            <v>311.85500000000002</v>
          </cell>
          <cell r="F74">
            <v>1.5724500000000002E-5</v>
          </cell>
        </row>
        <row r="75">
          <cell r="A75">
            <v>7200</v>
          </cell>
          <cell r="D75">
            <v>0.57617700000000005</v>
          </cell>
          <cell r="E75">
            <v>311.43599999999998</v>
          </cell>
          <cell r="F75">
            <v>1.5689399999999999E-5</v>
          </cell>
        </row>
        <row r="76">
          <cell r="A76">
            <v>7300</v>
          </cell>
          <cell r="D76">
            <v>0.56960200000000005</v>
          </cell>
          <cell r="E76">
            <v>311.01600000000002</v>
          </cell>
          <cell r="F76">
            <v>1.56542E-5</v>
          </cell>
        </row>
        <row r="77">
          <cell r="A77">
            <v>7400</v>
          </cell>
          <cell r="D77">
            <v>0.56308400000000003</v>
          </cell>
          <cell r="E77">
            <v>310.596</v>
          </cell>
          <cell r="F77">
            <v>1.5619000000000001E-5</v>
          </cell>
        </row>
        <row r="78">
          <cell r="A78">
            <v>7500</v>
          </cell>
          <cell r="D78">
            <v>0.55662400000000001</v>
          </cell>
          <cell r="E78">
            <v>310.17500000000001</v>
          </cell>
          <cell r="F78">
            <v>1.5583700000000001E-5</v>
          </cell>
        </row>
        <row r="79">
          <cell r="A79">
            <v>7600</v>
          </cell>
          <cell r="D79">
            <v>0.55022000000000004</v>
          </cell>
          <cell r="E79">
            <v>309.75400000000002</v>
          </cell>
          <cell r="F79">
            <v>1.5548399999999998E-5</v>
          </cell>
        </row>
        <row r="80">
          <cell r="A80">
            <v>7700</v>
          </cell>
          <cell r="D80">
            <v>0.54387300000000005</v>
          </cell>
          <cell r="E80">
            <v>309.33199999999999</v>
          </cell>
          <cell r="F80">
            <v>1.5513099999999999E-5</v>
          </cell>
        </row>
        <row r="81">
          <cell r="A81">
            <v>7800</v>
          </cell>
          <cell r="D81">
            <v>0.537582</v>
          </cell>
          <cell r="E81">
            <v>308.90899999999999</v>
          </cell>
          <cell r="F81">
            <v>1.5477699999999999E-5</v>
          </cell>
        </row>
        <row r="82">
          <cell r="A82">
            <v>7900</v>
          </cell>
          <cell r="D82">
            <v>0.53134700000000001</v>
          </cell>
          <cell r="E82">
            <v>308.48599999999999</v>
          </cell>
          <cell r="F82">
            <v>1.54423E-5</v>
          </cell>
        </row>
        <row r="83">
          <cell r="A83">
            <v>8000</v>
          </cell>
          <cell r="D83">
            <v>0.52516799999999997</v>
          </cell>
          <cell r="E83">
            <v>308.06299999999999</v>
          </cell>
          <cell r="F83">
            <v>1.54068E-5</v>
          </cell>
        </row>
        <row r="84">
          <cell r="A84">
            <v>8100</v>
          </cell>
          <cell r="D84">
            <v>0.51904300000000003</v>
          </cell>
          <cell r="E84">
            <v>307.63799999999998</v>
          </cell>
          <cell r="F84">
            <v>1.53713E-5</v>
          </cell>
        </row>
        <row r="85">
          <cell r="A85">
            <v>8200</v>
          </cell>
          <cell r="D85">
            <v>0.51297300000000001</v>
          </cell>
          <cell r="E85">
            <v>307.214</v>
          </cell>
          <cell r="F85">
            <v>1.53357E-5</v>
          </cell>
        </row>
        <row r="86">
          <cell r="A86">
            <v>8300</v>
          </cell>
          <cell r="D86">
            <v>0.50695800000000002</v>
          </cell>
          <cell r="E86">
            <v>306.78800000000001</v>
          </cell>
          <cell r="F86">
            <v>1.5300099999999999E-5</v>
          </cell>
        </row>
        <row r="87">
          <cell r="A87">
            <v>8400</v>
          </cell>
          <cell r="D87">
            <v>0.50099700000000003</v>
          </cell>
          <cell r="E87">
            <v>306.36200000000002</v>
          </cell>
          <cell r="F87">
            <v>1.5264499999999999E-5</v>
          </cell>
        </row>
        <row r="88">
          <cell r="A88">
            <v>8500</v>
          </cell>
          <cell r="D88">
            <v>0.49508999999999997</v>
          </cell>
          <cell r="E88">
            <v>305.935</v>
          </cell>
          <cell r="F88">
            <v>1.5228800000000001E-5</v>
          </cell>
        </row>
        <row r="89">
          <cell r="A89">
            <v>8600</v>
          </cell>
          <cell r="D89">
            <v>0.489236</v>
          </cell>
          <cell r="E89">
            <v>305.50799999999998</v>
          </cell>
          <cell r="F89">
            <v>1.51931E-5</v>
          </cell>
        </row>
        <row r="90">
          <cell r="A90">
            <v>8700</v>
          </cell>
          <cell r="D90">
            <v>0.483435</v>
          </cell>
          <cell r="E90">
            <v>305.08</v>
          </cell>
          <cell r="F90">
            <v>1.51573E-5</v>
          </cell>
        </row>
        <row r="91">
          <cell r="A91">
            <v>8800</v>
          </cell>
          <cell r="D91">
            <v>0.47768699999999997</v>
          </cell>
          <cell r="E91">
            <v>304.65199999999999</v>
          </cell>
          <cell r="F91">
            <v>1.5121500000000001E-5</v>
          </cell>
        </row>
        <row r="92">
          <cell r="A92">
            <v>8900</v>
          </cell>
          <cell r="D92">
            <v>0.47199200000000002</v>
          </cell>
          <cell r="E92">
            <v>304.22300000000001</v>
          </cell>
          <cell r="F92">
            <v>1.50857E-5</v>
          </cell>
        </row>
        <row r="93">
          <cell r="A93">
            <v>9000</v>
          </cell>
          <cell r="D93">
            <v>0.46634799999999998</v>
          </cell>
          <cell r="E93">
            <v>303.79300000000001</v>
          </cell>
          <cell r="F93">
            <v>1.5049799999999999E-5</v>
          </cell>
        </row>
        <row r="94">
          <cell r="A94">
            <v>9100</v>
          </cell>
          <cell r="D94">
            <v>0.460756</v>
          </cell>
          <cell r="E94">
            <v>303.363</v>
          </cell>
          <cell r="F94">
            <v>1.50138E-5</v>
          </cell>
        </row>
        <row r="95">
          <cell r="A95">
            <v>9200</v>
          </cell>
          <cell r="D95">
            <v>0.45521600000000001</v>
          </cell>
          <cell r="E95">
            <v>302.93200000000002</v>
          </cell>
          <cell r="F95">
            <v>1.4977800000000001E-5</v>
          </cell>
        </row>
        <row r="96">
          <cell r="A96">
            <v>9300</v>
          </cell>
          <cell r="D96">
            <v>0.44972699999999999</v>
          </cell>
          <cell r="E96">
            <v>302.50099999999998</v>
          </cell>
          <cell r="F96">
            <v>1.49418E-5</v>
          </cell>
        </row>
        <row r="97">
          <cell r="A97">
            <v>9400</v>
          </cell>
          <cell r="D97">
            <v>0.44428899999999999</v>
          </cell>
          <cell r="E97">
            <v>302.06900000000002</v>
          </cell>
          <cell r="F97">
            <v>1.4905800000000001E-5</v>
          </cell>
        </row>
        <row r="98">
          <cell r="A98">
            <v>9500</v>
          </cell>
          <cell r="D98">
            <v>0.43890099999999999</v>
          </cell>
          <cell r="E98">
            <v>301.63600000000002</v>
          </cell>
          <cell r="F98">
            <v>1.4869600000000001E-5</v>
          </cell>
        </row>
        <row r="99">
          <cell r="A99">
            <v>9600</v>
          </cell>
          <cell r="D99">
            <v>0.43356299999999998</v>
          </cell>
          <cell r="E99">
            <v>301.20299999999997</v>
          </cell>
          <cell r="F99">
            <v>1.48335E-5</v>
          </cell>
        </row>
        <row r="100">
          <cell r="A100">
            <v>9700</v>
          </cell>
          <cell r="D100">
            <v>0.42827500000000002</v>
          </cell>
          <cell r="E100">
            <v>300.76900000000001</v>
          </cell>
          <cell r="F100">
            <v>1.47973E-5</v>
          </cell>
        </row>
        <row r="101">
          <cell r="A101">
            <v>9800</v>
          </cell>
          <cell r="D101">
            <v>0.42303600000000002</v>
          </cell>
          <cell r="E101">
            <v>300.334</v>
          </cell>
          <cell r="F101">
            <v>1.4761E-5</v>
          </cell>
        </row>
        <row r="102">
          <cell r="A102">
            <v>9900</v>
          </cell>
          <cell r="D102">
            <v>0.41784700000000002</v>
          </cell>
          <cell r="E102">
            <v>299.899</v>
          </cell>
          <cell r="F102">
            <v>1.47247E-5</v>
          </cell>
        </row>
        <row r="103">
          <cell r="A103">
            <v>10000</v>
          </cell>
          <cell r="D103">
            <v>0.41270699999999999</v>
          </cell>
          <cell r="E103">
            <v>299.46300000000002</v>
          </cell>
          <cell r="F103">
            <v>1.46884E-5</v>
          </cell>
        </row>
        <row r="104">
          <cell r="A104">
            <v>10100</v>
          </cell>
          <cell r="D104">
            <v>0.40761500000000001</v>
          </cell>
          <cell r="E104">
            <v>299.02699999999999</v>
          </cell>
          <cell r="F104">
            <v>1.4652E-5</v>
          </cell>
        </row>
        <row r="105">
          <cell r="A105">
            <v>10200</v>
          </cell>
          <cell r="D105">
            <v>0.40257100000000001</v>
          </cell>
          <cell r="E105">
            <v>298.58999999999997</v>
          </cell>
          <cell r="F105">
            <v>1.4615599999999999E-5</v>
          </cell>
        </row>
        <row r="106">
          <cell r="A106">
            <v>10300</v>
          </cell>
          <cell r="D106">
            <v>0.39757500000000001</v>
          </cell>
          <cell r="E106">
            <v>298.15199999999999</v>
          </cell>
          <cell r="F106">
            <v>1.4579199999999999E-5</v>
          </cell>
        </row>
        <row r="107">
          <cell r="A107">
            <v>10400</v>
          </cell>
          <cell r="D107">
            <v>0.392627</v>
          </cell>
          <cell r="E107">
            <v>297.714</v>
          </cell>
          <cell r="F107">
            <v>1.45426E-5</v>
          </cell>
        </row>
        <row r="108">
          <cell r="A108">
            <v>10500</v>
          </cell>
          <cell r="D108">
            <v>0.38772499999999999</v>
          </cell>
          <cell r="E108">
            <v>297.27499999999998</v>
          </cell>
          <cell r="F108">
            <v>1.45061E-5</v>
          </cell>
        </row>
        <row r="109">
          <cell r="A109">
            <v>10600</v>
          </cell>
          <cell r="D109">
            <v>0.38287100000000002</v>
          </cell>
          <cell r="E109">
            <v>296.83499999999998</v>
          </cell>
          <cell r="F109">
            <v>1.4469499999999999E-5</v>
          </cell>
        </row>
        <row r="110">
          <cell r="A110">
            <v>10700</v>
          </cell>
          <cell r="D110">
            <v>0.37806400000000001</v>
          </cell>
          <cell r="E110">
            <v>296.39499999999998</v>
          </cell>
          <cell r="F110">
            <v>1.44328E-5</v>
          </cell>
        </row>
        <row r="111">
          <cell r="A111">
            <v>10800</v>
          </cell>
          <cell r="D111">
            <v>0.373303</v>
          </cell>
          <cell r="E111">
            <v>295.95400000000001</v>
          </cell>
          <cell r="F111">
            <v>1.4396199999999999E-5</v>
          </cell>
        </row>
        <row r="112">
          <cell r="A112">
            <v>10900</v>
          </cell>
          <cell r="D112">
            <v>0.36858800000000003</v>
          </cell>
          <cell r="E112">
            <v>295.512</v>
          </cell>
          <cell r="F112">
            <v>1.43594E-5</v>
          </cell>
        </row>
        <row r="113">
          <cell r="A113">
            <v>11000</v>
          </cell>
          <cell r="D113">
            <v>0.36391800000000002</v>
          </cell>
          <cell r="E113">
            <v>295.07</v>
          </cell>
          <cell r="F113">
            <v>1.4322600000000001E-5</v>
          </cell>
        </row>
        <row r="114">
          <cell r="A114">
            <v>11100</v>
          </cell>
          <cell r="D114">
            <v>0.35822399999999999</v>
          </cell>
          <cell r="E114">
            <v>295.07</v>
          </cell>
          <cell r="F114">
            <v>1.4322600000000001E-5</v>
          </cell>
        </row>
        <row r="115">
          <cell r="A115">
            <v>11200</v>
          </cell>
          <cell r="D115">
            <v>0.35261999999999999</v>
          </cell>
          <cell r="E115">
            <v>295.07</v>
          </cell>
          <cell r="F115">
            <v>1.4322600000000001E-5</v>
          </cell>
        </row>
        <row r="116">
          <cell r="A116">
            <v>11300</v>
          </cell>
          <cell r="D116">
            <v>0.34710299999999999</v>
          </cell>
          <cell r="E116">
            <v>295.07</v>
          </cell>
          <cell r="F116">
            <v>1.4322600000000001E-5</v>
          </cell>
        </row>
        <row r="117">
          <cell r="A117">
            <v>11400</v>
          </cell>
          <cell r="D117">
            <v>0.341673</v>
          </cell>
          <cell r="E117">
            <v>295.07</v>
          </cell>
          <cell r="F117">
            <v>1.4322600000000001E-5</v>
          </cell>
        </row>
        <row r="118">
          <cell r="A118">
            <v>11500</v>
          </cell>
          <cell r="D118">
            <v>0.33632699999999999</v>
          </cell>
          <cell r="E118">
            <v>295.07</v>
          </cell>
          <cell r="F118">
            <v>1.4322600000000001E-5</v>
          </cell>
        </row>
        <row r="119">
          <cell r="A119">
            <v>11600</v>
          </cell>
          <cell r="D119">
            <v>0.331065</v>
          </cell>
          <cell r="E119">
            <v>295.07</v>
          </cell>
          <cell r="F119">
            <v>1.4322600000000001E-5</v>
          </cell>
        </row>
        <row r="120">
          <cell r="A120">
            <v>11700</v>
          </cell>
          <cell r="D120">
            <v>0.32588600000000001</v>
          </cell>
          <cell r="E120">
            <v>295.07</v>
          </cell>
          <cell r="F120">
            <v>1.4322600000000001E-5</v>
          </cell>
        </row>
        <row r="121">
          <cell r="A121">
            <v>11800</v>
          </cell>
          <cell r="D121">
            <v>0.32078699999999999</v>
          </cell>
          <cell r="E121">
            <v>295.07</v>
          </cell>
          <cell r="F121">
            <v>1.4322600000000001E-5</v>
          </cell>
        </row>
        <row r="122">
          <cell r="A122">
            <v>11900</v>
          </cell>
          <cell r="D122">
            <v>0.31576799999999999</v>
          </cell>
          <cell r="E122">
            <v>295.07</v>
          </cell>
          <cell r="F122">
            <v>1.4322600000000001E-5</v>
          </cell>
        </row>
        <row r="123">
          <cell r="A123">
            <v>12000</v>
          </cell>
          <cell r="D123">
            <v>0.31082799999999999</v>
          </cell>
          <cell r="E123">
            <v>295.07</v>
          </cell>
          <cell r="F123">
            <v>1.4322600000000001E-5</v>
          </cell>
        </row>
        <row r="124">
          <cell r="A124">
            <v>12100</v>
          </cell>
          <cell r="D124">
            <v>0.30596499999999999</v>
          </cell>
          <cell r="E124">
            <v>295.07</v>
          </cell>
          <cell r="F124">
            <v>1.4322600000000001E-5</v>
          </cell>
        </row>
        <row r="125">
          <cell r="A125">
            <v>12200</v>
          </cell>
          <cell r="D125">
            <v>0.301178</v>
          </cell>
          <cell r="E125">
            <v>295.07</v>
          </cell>
          <cell r="F125">
            <v>1.4322600000000001E-5</v>
          </cell>
        </row>
        <row r="126">
          <cell r="A126">
            <v>12300</v>
          </cell>
          <cell r="D126">
            <v>0.29646600000000001</v>
          </cell>
          <cell r="E126">
            <v>295.07</v>
          </cell>
          <cell r="F126">
            <v>1.4322600000000001E-5</v>
          </cell>
        </row>
        <row r="127">
          <cell r="A127">
            <v>12400</v>
          </cell>
          <cell r="D127">
            <v>0.29182799999999998</v>
          </cell>
          <cell r="E127">
            <v>295.07</v>
          </cell>
          <cell r="F127">
            <v>1.4322600000000001E-5</v>
          </cell>
        </row>
        <row r="128">
          <cell r="A128">
            <v>12500</v>
          </cell>
          <cell r="D128">
            <v>0.28726200000000002</v>
          </cell>
          <cell r="E128">
            <v>295.07</v>
          </cell>
          <cell r="F128">
            <v>1.4322600000000001E-5</v>
          </cell>
        </row>
        <row r="129">
          <cell r="A129">
            <v>12600</v>
          </cell>
          <cell r="D129">
            <v>0.28276800000000002</v>
          </cell>
          <cell r="E129">
            <v>295.07</v>
          </cell>
          <cell r="F129">
            <v>1.4322600000000001E-5</v>
          </cell>
        </row>
        <row r="130">
          <cell r="A130">
            <v>12700</v>
          </cell>
          <cell r="D130">
            <v>0.27834399999999998</v>
          </cell>
          <cell r="E130">
            <v>295.07</v>
          </cell>
          <cell r="F130">
            <v>1.4322600000000001E-5</v>
          </cell>
        </row>
        <row r="131">
          <cell r="A131">
            <v>12800</v>
          </cell>
          <cell r="D131">
            <v>0.27398899999999998</v>
          </cell>
          <cell r="E131">
            <v>295.07</v>
          </cell>
          <cell r="F131">
            <v>1.4322600000000001E-5</v>
          </cell>
        </row>
        <row r="132">
          <cell r="A132">
            <v>12900</v>
          </cell>
          <cell r="D132">
            <v>0.26970300000000003</v>
          </cell>
          <cell r="E132">
            <v>295.07</v>
          </cell>
          <cell r="F132">
            <v>1.4322600000000001E-5</v>
          </cell>
        </row>
        <row r="133">
          <cell r="A133">
            <v>13000</v>
          </cell>
          <cell r="D133">
            <v>0.26548300000000002</v>
          </cell>
          <cell r="E133">
            <v>295.07</v>
          </cell>
          <cell r="F133">
            <v>1.4322600000000001E-5</v>
          </cell>
        </row>
        <row r="134">
          <cell r="A134">
            <v>13100</v>
          </cell>
          <cell r="D134">
            <v>0.26133000000000001</v>
          </cell>
          <cell r="E134">
            <v>295.07</v>
          </cell>
          <cell r="F134">
            <v>1.4322600000000001E-5</v>
          </cell>
        </row>
        <row r="135">
          <cell r="A135">
            <v>13200</v>
          </cell>
          <cell r="D135">
            <v>0.257241</v>
          </cell>
          <cell r="E135">
            <v>295.07</v>
          </cell>
          <cell r="F135">
            <v>1.4322600000000001E-5</v>
          </cell>
        </row>
        <row r="136">
          <cell r="A136">
            <v>13300</v>
          </cell>
          <cell r="D136">
            <v>0.25321700000000003</v>
          </cell>
          <cell r="E136">
            <v>295.07</v>
          </cell>
          <cell r="F136">
            <v>1.4322600000000001E-5</v>
          </cell>
        </row>
        <row r="137">
          <cell r="A137">
            <v>13400</v>
          </cell>
          <cell r="D137">
            <v>0.249255</v>
          </cell>
          <cell r="E137">
            <v>295.07</v>
          </cell>
          <cell r="F137">
            <v>1.4322600000000001E-5</v>
          </cell>
        </row>
        <row r="138">
          <cell r="A138">
            <v>13500</v>
          </cell>
          <cell r="D138">
            <v>0.24535499999999999</v>
          </cell>
          <cell r="E138">
            <v>295.07</v>
          </cell>
          <cell r="F138">
            <v>1.4322600000000001E-5</v>
          </cell>
        </row>
        <row r="139">
          <cell r="A139">
            <v>13600</v>
          </cell>
          <cell r="D139">
            <v>0.24151700000000001</v>
          </cell>
          <cell r="E139">
            <v>295.07</v>
          </cell>
          <cell r="F139">
            <v>1.4322600000000001E-5</v>
          </cell>
        </row>
        <row r="140">
          <cell r="A140">
            <v>13700</v>
          </cell>
          <cell r="D140">
            <v>0.237738</v>
          </cell>
          <cell r="E140">
            <v>295.07</v>
          </cell>
          <cell r="F140">
            <v>1.4322600000000001E-5</v>
          </cell>
        </row>
        <row r="141">
          <cell r="A141">
            <v>13800</v>
          </cell>
          <cell r="D141">
            <v>0.234019</v>
          </cell>
          <cell r="E141">
            <v>295.07</v>
          </cell>
          <cell r="F141">
            <v>1.4322600000000001E-5</v>
          </cell>
        </row>
        <row r="142">
          <cell r="A142">
            <v>13900</v>
          </cell>
          <cell r="D142">
            <v>0.23035700000000001</v>
          </cell>
          <cell r="E142">
            <v>295.07</v>
          </cell>
          <cell r="F142">
            <v>1.4322600000000001E-5</v>
          </cell>
        </row>
        <row r="143">
          <cell r="A143">
            <v>14000</v>
          </cell>
          <cell r="D143">
            <v>0.22675300000000001</v>
          </cell>
          <cell r="E143">
            <v>295.07</v>
          </cell>
          <cell r="F143">
            <v>1.4322600000000001E-5</v>
          </cell>
        </row>
        <row r="144">
          <cell r="A144">
            <v>14100</v>
          </cell>
          <cell r="D144">
            <v>0.22320599999999999</v>
          </cell>
          <cell r="E144">
            <v>295.07</v>
          </cell>
          <cell r="F144">
            <v>1.4322600000000001E-5</v>
          </cell>
        </row>
        <row r="145">
          <cell r="A145">
            <v>14200</v>
          </cell>
          <cell r="D145">
            <v>0.21971399999999999</v>
          </cell>
          <cell r="E145">
            <v>295.07</v>
          </cell>
          <cell r="F145">
            <v>1.4322600000000001E-5</v>
          </cell>
        </row>
        <row r="146">
          <cell r="A146">
            <v>14300</v>
          </cell>
          <cell r="D146">
            <v>0.216276</v>
          </cell>
          <cell r="E146">
            <v>295.07</v>
          </cell>
          <cell r="F146">
            <v>1.4322600000000001E-5</v>
          </cell>
        </row>
        <row r="147">
          <cell r="A147">
            <v>14400</v>
          </cell>
          <cell r="D147">
            <v>0.212893</v>
          </cell>
          <cell r="E147">
            <v>295.07</v>
          </cell>
          <cell r="F147">
            <v>1.4322600000000001E-5</v>
          </cell>
        </row>
        <row r="148">
          <cell r="A148">
            <v>14500</v>
          </cell>
          <cell r="D148">
            <v>0.209562</v>
          </cell>
          <cell r="E148">
            <v>295.07</v>
          </cell>
          <cell r="F148">
            <v>1.4322600000000001E-5</v>
          </cell>
        </row>
        <row r="149">
          <cell r="A149">
            <v>14600</v>
          </cell>
          <cell r="D149">
            <v>0.20628299999999999</v>
          </cell>
          <cell r="E149">
            <v>295.07</v>
          </cell>
          <cell r="F149">
            <v>1.4322600000000001E-5</v>
          </cell>
        </row>
        <row r="150">
          <cell r="A150">
            <v>14700</v>
          </cell>
          <cell r="D150">
            <v>0.20305599999999999</v>
          </cell>
          <cell r="E150">
            <v>295.07</v>
          </cell>
          <cell r="F150">
            <v>1.4322600000000001E-5</v>
          </cell>
        </row>
        <row r="151">
          <cell r="A151">
            <v>14800</v>
          </cell>
          <cell r="D151">
            <v>0.199879</v>
          </cell>
          <cell r="E151">
            <v>295.07</v>
          </cell>
          <cell r="F151">
            <v>1.4322600000000001E-5</v>
          </cell>
        </row>
        <row r="152">
          <cell r="A152">
            <v>14900</v>
          </cell>
          <cell r="D152">
            <v>0.19675200000000001</v>
          </cell>
          <cell r="E152">
            <v>295.07</v>
          </cell>
          <cell r="F152">
            <v>1.4322600000000001E-5</v>
          </cell>
        </row>
        <row r="153">
          <cell r="A153">
            <v>15000</v>
          </cell>
          <cell r="D153">
            <v>0.19367400000000001</v>
          </cell>
          <cell r="E153">
            <v>295.07</v>
          </cell>
          <cell r="F153">
            <v>1.4322600000000001E-5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F46CC-1D31-450C-BFE9-C8A86CC086C2}">
  <dimension ref="A1:L48"/>
  <sheetViews>
    <sheetView topLeftCell="A28" zoomScale="150" zoomScaleNormal="150" workbookViewId="0">
      <selection activeCell="B10" sqref="B10"/>
    </sheetView>
  </sheetViews>
  <sheetFormatPr defaultRowHeight="14.5" x14ac:dyDescent="0.35"/>
  <cols>
    <col min="1" max="1" width="36" bestFit="1" customWidth="1"/>
    <col min="2" max="2" width="16" customWidth="1"/>
    <col min="3" max="3" width="15.453125" customWidth="1"/>
    <col min="4" max="5" width="15.81640625" customWidth="1"/>
    <col min="6" max="7" width="12.36328125" bestFit="1" customWidth="1"/>
    <col min="8" max="8" width="11.54296875" bestFit="1" customWidth="1"/>
    <col min="9" max="11" width="9.81640625" bestFit="1" customWidth="1"/>
  </cols>
  <sheetData>
    <row r="1" spans="1:6" s="25" customFormat="1" ht="26" x14ac:dyDescent="0.6">
      <c r="A1" s="25" t="s">
        <v>71</v>
      </c>
    </row>
    <row r="3" spans="1:6" s="2" customFormat="1" ht="21" x14ac:dyDescent="0.5">
      <c r="A3" s="31" t="s">
        <v>18</v>
      </c>
      <c r="B3" s="31"/>
      <c r="C3" s="31"/>
      <c r="D3" s="31"/>
      <c r="E3" s="26"/>
    </row>
    <row r="4" spans="1:6" s="2" customFormat="1" x14ac:dyDescent="0.35">
      <c r="A4" s="17" t="s">
        <v>22</v>
      </c>
      <c r="B4" s="17"/>
      <c r="C4" s="17"/>
      <c r="D4" s="17"/>
      <c r="E4" s="17"/>
      <c r="F4" s="17"/>
    </row>
    <row r="5" spans="1:6" x14ac:dyDescent="0.35">
      <c r="A5" t="s">
        <v>38</v>
      </c>
      <c r="B5" s="18">
        <v>1500</v>
      </c>
      <c r="C5" s="18"/>
      <c r="D5" s="18"/>
      <c r="E5" s="18"/>
      <c r="F5" s="18"/>
    </row>
    <row r="6" spans="1:6" x14ac:dyDescent="0.35">
      <c r="A6" t="s">
        <v>41</v>
      </c>
      <c r="B6" s="18" cm="1">
        <f t="array" ref="B6">_xlfn.XLOOKUP(B$5,STDATM!$A$3:$A$153,STDATM!$D$3:$D$153,NA,0,1)</f>
        <v>1.0580700000000001</v>
      </c>
      <c r="C6" s="18"/>
      <c r="D6" s="18"/>
      <c r="E6" s="18"/>
      <c r="F6" s="18"/>
    </row>
    <row r="7" spans="1:6" x14ac:dyDescent="0.35">
      <c r="A7" t="s">
        <v>39</v>
      </c>
      <c r="B7" s="18" cm="1">
        <f t="array" ref="B7">_xlfn.XLOOKUP(B$5,STDATM!$A$3:$A$153,STDATM!$F$3:$F$153,NA,0,1)</f>
        <v>1.7629799999999998E-5</v>
      </c>
      <c r="C7" s="18"/>
      <c r="D7" s="18"/>
      <c r="E7" s="18"/>
    </row>
    <row r="8" spans="1:6" x14ac:dyDescent="0.35">
      <c r="A8" t="s">
        <v>40</v>
      </c>
      <c r="B8" s="18" cm="1">
        <f t="array" ref="B8">_xlfn.XLOOKUP(B$5,STDATM!$A$3:$A$153,STDATM!$E$3:$E$153,NA,0,1)</f>
        <v>334.48700000000002</v>
      </c>
      <c r="C8" s="18"/>
      <c r="D8" s="18"/>
      <c r="E8" s="18"/>
    </row>
    <row r="9" spans="1:6" x14ac:dyDescent="0.35">
      <c r="A9" s="28" t="s">
        <v>42</v>
      </c>
      <c r="B9" s="29">
        <v>10</v>
      </c>
      <c r="C9" s="19"/>
      <c r="D9" s="19"/>
      <c r="E9" s="19"/>
    </row>
    <row r="10" spans="1:6" x14ac:dyDescent="0.35">
      <c r="A10" s="28" t="s">
        <v>0</v>
      </c>
      <c r="B10" s="20">
        <v>200000</v>
      </c>
      <c r="C10" s="20"/>
      <c r="D10" s="20"/>
      <c r="E10" s="20"/>
    </row>
    <row r="11" spans="1:6" x14ac:dyDescent="0.35">
      <c r="A11" t="s">
        <v>20</v>
      </c>
      <c r="B11" s="21" t="s">
        <v>21</v>
      </c>
      <c r="C11" s="21"/>
      <c r="D11" s="21"/>
      <c r="E11" s="21"/>
    </row>
    <row r="13" spans="1:6" s="3" customFormat="1" ht="21" x14ac:dyDescent="0.5">
      <c r="A13" s="16" t="s">
        <v>50</v>
      </c>
      <c r="B13" s="16"/>
      <c r="C13" s="16"/>
      <c r="D13" s="16"/>
      <c r="E13" s="16"/>
    </row>
    <row r="14" spans="1:6" x14ac:dyDescent="0.35">
      <c r="A14" t="s">
        <v>57</v>
      </c>
      <c r="B14" s="9" t="s">
        <v>60</v>
      </c>
      <c r="C14" t="s">
        <v>9</v>
      </c>
    </row>
    <row r="15" spans="1:6" x14ac:dyDescent="0.35">
      <c r="A15" t="s">
        <v>55</v>
      </c>
      <c r="B15" s="9">
        <v>1</v>
      </c>
    </row>
    <row r="16" spans="1:6" x14ac:dyDescent="0.35">
      <c r="A16" t="s">
        <v>54</v>
      </c>
      <c r="B16" s="9">
        <v>1</v>
      </c>
    </row>
    <row r="17" spans="1:12" x14ac:dyDescent="0.35">
      <c r="A17" t="s">
        <v>56</v>
      </c>
      <c r="B17" s="18">
        <v>1</v>
      </c>
    </row>
    <row r="19" spans="1:12" s="4" customFormat="1" ht="21" x14ac:dyDescent="0.5">
      <c r="A19" s="32" t="s">
        <v>19</v>
      </c>
      <c r="B19" s="32"/>
      <c r="C19" s="32"/>
      <c r="D19" s="32"/>
      <c r="E19" s="27"/>
    </row>
    <row r="20" spans="1:12" x14ac:dyDescent="0.35">
      <c r="A20" t="s">
        <v>4</v>
      </c>
      <c r="B20" s="18"/>
      <c r="C20" s="18" t="s">
        <v>28</v>
      </c>
    </row>
    <row r="21" spans="1:12" x14ac:dyDescent="0.35">
      <c r="A21" t="s">
        <v>3</v>
      </c>
      <c r="B21" s="18"/>
      <c r="C21" s="18"/>
    </row>
    <row r="22" spans="1:12" x14ac:dyDescent="0.35">
      <c r="A22" t="s">
        <v>30</v>
      </c>
      <c r="B22" s="18">
        <v>0.75</v>
      </c>
      <c r="C22" s="18"/>
    </row>
    <row r="23" spans="1:12" x14ac:dyDescent="0.35">
      <c r="A23" t="s">
        <v>29</v>
      </c>
      <c r="B23" s="18">
        <v>6.7</v>
      </c>
      <c r="C23" s="18" t="s">
        <v>5</v>
      </c>
    </row>
    <row r="24" spans="1:12" x14ac:dyDescent="0.35">
      <c r="A24" t="s">
        <v>58</v>
      </c>
      <c r="B24" s="18" t="s">
        <v>61</v>
      </c>
      <c r="C24" s="18"/>
    </row>
    <row r="25" spans="1:12" x14ac:dyDescent="0.35">
      <c r="A25" t="s">
        <v>48</v>
      </c>
      <c r="B25" s="18"/>
    </row>
    <row r="26" spans="1:12" x14ac:dyDescent="0.35">
      <c r="A26" t="s">
        <v>49</v>
      </c>
      <c r="B26" s="18"/>
    </row>
    <row r="27" spans="1:12" x14ac:dyDescent="0.35">
      <c r="A27" t="s">
        <v>51</v>
      </c>
    </row>
    <row r="28" spans="1:12" x14ac:dyDescent="0.35">
      <c r="A28" t="s">
        <v>52</v>
      </c>
      <c r="C28" s="9" t="s">
        <v>59</v>
      </c>
    </row>
    <row r="29" spans="1:12" x14ac:dyDescent="0.35">
      <c r="A29" t="s">
        <v>53</v>
      </c>
      <c r="C29" s="9" t="s">
        <v>59</v>
      </c>
    </row>
    <row r="31" spans="1:12" s="8" customFormat="1" ht="21" x14ac:dyDescent="0.5">
      <c r="A31" s="33" t="s">
        <v>8</v>
      </c>
      <c r="B31" s="33"/>
      <c r="C31" s="33"/>
      <c r="D31" s="33"/>
      <c r="E31" s="33"/>
      <c r="F31" s="33"/>
      <c r="G31" s="33"/>
      <c r="H31" s="33"/>
      <c r="I31" s="33"/>
      <c r="J31" s="33"/>
      <c r="K31" s="33"/>
    </row>
    <row r="32" spans="1:12" ht="29" x14ac:dyDescent="0.35">
      <c r="A32" s="7"/>
      <c r="B32" s="7" t="s">
        <v>1</v>
      </c>
      <c r="C32" s="10" t="s">
        <v>10</v>
      </c>
      <c r="D32" s="12" t="s">
        <v>11</v>
      </c>
      <c r="E32" s="12" t="s">
        <v>27</v>
      </c>
      <c r="F32" s="12" t="s">
        <v>12</v>
      </c>
      <c r="G32" s="12" t="s">
        <v>13</v>
      </c>
      <c r="H32" s="14" t="s">
        <v>14</v>
      </c>
      <c r="I32" s="14" t="s">
        <v>15</v>
      </c>
      <c r="J32" s="14" t="s">
        <v>16</v>
      </c>
      <c r="K32" s="14" t="s">
        <v>17</v>
      </c>
      <c r="L32" s="1"/>
    </row>
    <row r="33" spans="1:11" x14ac:dyDescent="0.35">
      <c r="A33" s="7" t="s">
        <v>2</v>
      </c>
      <c r="B33" s="11" t="s">
        <v>70</v>
      </c>
      <c r="C33" s="11" t="s">
        <v>72</v>
      </c>
      <c r="D33" s="13" t="s">
        <v>44</v>
      </c>
      <c r="E33" s="13" t="s">
        <v>45</v>
      </c>
      <c r="F33" s="13" t="s">
        <v>47</v>
      </c>
      <c r="G33" s="13" t="s">
        <v>43</v>
      </c>
      <c r="H33" s="15" t="s">
        <v>46</v>
      </c>
      <c r="I33" s="15"/>
      <c r="J33" s="15"/>
      <c r="K33" s="15"/>
    </row>
    <row r="34" spans="1:11" x14ac:dyDescent="0.35">
      <c r="A34" s="5" t="s">
        <v>62</v>
      </c>
      <c r="B34" s="5">
        <v>10</v>
      </c>
      <c r="C34" s="5">
        <v>85</v>
      </c>
      <c r="D34" s="6">
        <v>159</v>
      </c>
      <c r="E34" s="6">
        <v>11.1</v>
      </c>
      <c r="F34" s="6">
        <v>0.16</v>
      </c>
      <c r="G34" s="6">
        <v>1.98</v>
      </c>
      <c r="H34" s="6">
        <v>15.55</v>
      </c>
      <c r="I34" s="6"/>
      <c r="J34" s="6"/>
      <c r="K34" s="6"/>
    </row>
    <row r="35" spans="1:11" x14ac:dyDescent="0.35">
      <c r="A35" s="5" t="s">
        <v>63</v>
      </c>
      <c r="B35" s="5">
        <v>11</v>
      </c>
      <c r="C35" s="5">
        <v>85</v>
      </c>
      <c r="D35" s="6">
        <v>157</v>
      </c>
      <c r="E35" s="6">
        <v>10.8</v>
      </c>
      <c r="F35" s="6">
        <v>0.14000000000000001</v>
      </c>
      <c r="G35" s="6">
        <v>2.02</v>
      </c>
      <c r="H35" s="6">
        <v>15.34</v>
      </c>
      <c r="I35" s="6"/>
      <c r="J35" s="6"/>
      <c r="K35" s="6"/>
    </row>
    <row r="36" spans="1:11" x14ac:dyDescent="0.35">
      <c r="A36" s="5" t="s">
        <v>64</v>
      </c>
      <c r="B36" s="5">
        <v>12</v>
      </c>
      <c r="C36" s="5">
        <v>85</v>
      </c>
      <c r="D36" s="6">
        <v>155</v>
      </c>
      <c r="E36" s="6">
        <v>10.5</v>
      </c>
      <c r="F36" s="6">
        <v>0.12</v>
      </c>
      <c r="G36" s="6">
        <v>2.0499999999999998</v>
      </c>
      <c r="H36" s="30">
        <v>15.23</v>
      </c>
      <c r="I36" s="6"/>
      <c r="J36" s="6"/>
      <c r="K36" s="6"/>
    </row>
    <row r="37" spans="1:11" x14ac:dyDescent="0.35">
      <c r="A37" s="5" t="s">
        <v>65</v>
      </c>
      <c r="B37" s="5">
        <v>13</v>
      </c>
      <c r="C37" s="5">
        <v>85</v>
      </c>
      <c r="D37" s="6">
        <v>152</v>
      </c>
      <c r="E37" s="6">
        <v>10.3</v>
      </c>
      <c r="F37" s="6">
        <v>0.11</v>
      </c>
      <c r="G37" s="6">
        <v>2.1</v>
      </c>
      <c r="H37" s="6">
        <v>15.06</v>
      </c>
      <c r="I37" s="6"/>
      <c r="J37" s="6"/>
      <c r="K37" s="6"/>
    </row>
    <row r="38" spans="1:11" x14ac:dyDescent="0.35">
      <c r="A38" s="5" t="s">
        <v>66</v>
      </c>
      <c r="B38" s="5">
        <v>14</v>
      </c>
      <c r="C38" s="5">
        <v>85</v>
      </c>
      <c r="D38" s="6">
        <v>149</v>
      </c>
      <c r="E38" s="6">
        <v>10.1</v>
      </c>
      <c r="F38" s="6">
        <v>0.1</v>
      </c>
      <c r="G38" s="6">
        <v>2.14</v>
      </c>
      <c r="H38" s="30">
        <v>14.87</v>
      </c>
      <c r="I38" s="6"/>
      <c r="J38" s="6"/>
      <c r="K38" s="6"/>
    </row>
    <row r="39" spans="1:11" x14ac:dyDescent="0.35">
      <c r="A39" s="5" t="s">
        <v>67</v>
      </c>
      <c r="B39" s="5">
        <v>16</v>
      </c>
      <c r="C39" s="5">
        <v>85</v>
      </c>
      <c r="D39" s="6" t="s">
        <v>79</v>
      </c>
      <c r="E39" s="6">
        <v>9.9</v>
      </c>
      <c r="F39" s="6">
        <v>0.08</v>
      </c>
      <c r="G39" s="6">
        <v>2.2400000000000002</v>
      </c>
      <c r="H39" s="6" t="s">
        <v>80</v>
      </c>
      <c r="I39" s="6"/>
      <c r="J39" s="6"/>
      <c r="K39" s="6"/>
    </row>
    <row r="40" spans="1:11" x14ac:dyDescent="0.35">
      <c r="A40" s="5" t="s">
        <v>68</v>
      </c>
      <c r="B40" s="5">
        <v>20</v>
      </c>
      <c r="C40" s="5">
        <v>85</v>
      </c>
      <c r="D40" s="6">
        <v>131</v>
      </c>
      <c r="E40" s="6">
        <v>9.6</v>
      </c>
      <c r="F40" s="6">
        <v>0.04</v>
      </c>
      <c r="G40" s="6">
        <v>2.5</v>
      </c>
      <c r="H40" s="6">
        <v>13.61</v>
      </c>
      <c r="I40" s="6"/>
      <c r="J40" s="6"/>
      <c r="K40" s="6"/>
    </row>
    <row r="41" spans="1:11" x14ac:dyDescent="0.35">
      <c r="A41" s="5" t="s">
        <v>69</v>
      </c>
      <c r="B41" s="5">
        <v>10</v>
      </c>
      <c r="C41" s="5">
        <v>100</v>
      </c>
      <c r="D41" s="6">
        <v>175</v>
      </c>
      <c r="E41" s="6">
        <v>9.1</v>
      </c>
      <c r="F41" s="6">
        <v>0.14000000000000001</v>
      </c>
      <c r="G41" s="6">
        <v>2.0099999999999998</v>
      </c>
      <c r="H41" s="6">
        <v>15.4</v>
      </c>
      <c r="I41" s="6"/>
      <c r="J41" s="6"/>
      <c r="K41" s="6"/>
    </row>
    <row r="42" spans="1:11" x14ac:dyDescent="0.35">
      <c r="A42" s="5" t="s">
        <v>73</v>
      </c>
      <c r="B42" s="5">
        <v>11</v>
      </c>
      <c r="C42" s="5">
        <v>100</v>
      </c>
      <c r="D42" s="6">
        <v>173</v>
      </c>
      <c r="E42" s="6">
        <v>9.9</v>
      </c>
      <c r="F42" s="6">
        <v>0.12</v>
      </c>
      <c r="G42" s="6">
        <v>2.0499999999999998</v>
      </c>
      <c r="H42" s="6">
        <v>15.22</v>
      </c>
      <c r="I42" s="6"/>
      <c r="J42" s="6"/>
      <c r="K42" s="6"/>
    </row>
    <row r="43" spans="1:11" x14ac:dyDescent="0.35">
      <c r="A43" s="5" t="s">
        <v>74</v>
      </c>
      <c r="B43" s="5">
        <v>12</v>
      </c>
      <c r="C43" s="5">
        <v>100</v>
      </c>
      <c r="D43" s="6">
        <v>170</v>
      </c>
      <c r="E43" s="6">
        <v>9.6</v>
      </c>
      <c r="F43" s="6">
        <v>0.11</v>
      </c>
      <c r="G43" s="6">
        <v>2.1</v>
      </c>
      <c r="H43" s="6">
        <v>15.03</v>
      </c>
      <c r="I43" s="6"/>
      <c r="J43" s="6"/>
      <c r="K43" s="6"/>
    </row>
    <row r="44" spans="1:11" x14ac:dyDescent="0.35">
      <c r="A44" s="5" t="s">
        <v>75</v>
      </c>
      <c r="B44" s="5">
        <v>13</v>
      </c>
      <c r="C44" s="5">
        <v>100</v>
      </c>
      <c r="D44" s="6">
        <v>167</v>
      </c>
      <c r="E44" s="6">
        <v>9.4</v>
      </c>
      <c r="F44" s="6">
        <v>0.09</v>
      </c>
      <c r="G44" s="6">
        <v>2.15</v>
      </c>
      <c r="H44" s="6">
        <v>14.82</v>
      </c>
      <c r="I44" s="6"/>
      <c r="J44" s="6"/>
      <c r="K44" s="6"/>
    </row>
    <row r="45" spans="1:11" x14ac:dyDescent="0.35">
      <c r="A45" s="5" t="s">
        <v>76</v>
      </c>
      <c r="B45" s="5">
        <v>14</v>
      </c>
      <c r="C45" s="5">
        <v>100</v>
      </c>
      <c r="D45" s="6">
        <v>164</v>
      </c>
      <c r="E45" s="6">
        <v>9.3000000000000007</v>
      </c>
      <c r="F45" s="6">
        <v>0.08</v>
      </c>
      <c r="G45" s="6">
        <v>2.2000000000000002</v>
      </c>
      <c r="H45" s="6">
        <v>14.62</v>
      </c>
      <c r="I45" s="6"/>
      <c r="J45" s="6"/>
      <c r="K45" s="6"/>
    </row>
    <row r="46" spans="1:11" x14ac:dyDescent="0.35">
      <c r="A46" s="5" t="s">
        <v>77</v>
      </c>
      <c r="B46" s="5">
        <v>16</v>
      </c>
      <c r="C46" s="5">
        <v>100</v>
      </c>
      <c r="D46" s="6">
        <v>157</v>
      </c>
      <c r="E46" s="6">
        <v>9.1</v>
      </c>
      <c r="F46" s="6">
        <v>7.0000000000000007E-2</v>
      </c>
      <c r="G46" s="6">
        <v>2.3199999999999998</v>
      </c>
      <c r="H46" s="6">
        <v>14.17</v>
      </c>
      <c r="I46" s="6"/>
      <c r="J46" s="6"/>
      <c r="K46" s="6"/>
    </row>
    <row r="47" spans="1:11" x14ac:dyDescent="0.35">
      <c r="A47" s="5" t="s">
        <v>78</v>
      </c>
      <c r="B47" s="5">
        <v>20</v>
      </c>
      <c r="C47" s="5">
        <v>100</v>
      </c>
      <c r="D47" s="6">
        <v>141</v>
      </c>
      <c r="E47" s="6">
        <v>8.9</v>
      </c>
      <c r="F47" s="6">
        <v>0.03</v>
      </c>
      <c r="G47" s="6">
        <v>2.6</v>
      </c>
      <c r="H47" s="6">
        <v>13.2</v>
      </c>
      <c r="I47" s="6"/>
      <c r="J47" s="6"/>
      <c r="K47" s="6"/>
    </row>
    <row r="48" spans="1:11" x14ac:dyDescent="0.35">
      <c r="A48" s="5"/>
      <c r="B48" s="5"/>
      <c r="C48" s="5"/>
      <c r="D48" s="6"/>
      <c r="E48" s="6"/>
      <c r="F48" s="6"/>
      <c r="G48" s="6"/>
      <c r="H48" s="6"/>
      <c r="I48" s="6"/>
      <c r="J48" s="6"/>
      <c r="K48" s="6"/>
    </row>
  </sheetData>
  <mergeCells count="3">
    <mergeCell ref="A3:D3"/>
    <mergeCell ref="A19:D19"/>
    <mergeCell ref="A31:K31"/>
  </mergeCells>
  <phoneticPr fontId="8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09861-ECA4-49AD-B2DD-36CEF6689926}">
  <dimension ref="A1:L48"/>
  <sheetViews>
    <sheetView topLeftCell="A19" zoomScale="74" zoomScaleNormal="150" workbookViewId="0">
      <selection activeCell="J37" sqref="A37:J37"/>
    </sheetView>
  </sheetViews>
  <sheetFormatPr defaultRowHeight="14.5" x14ac:dyDescent="0.35"/>
  <cols>
    <col min="1" max="1" width="36" bestFit="1" customWidth="1"/>
    <col min="2" max="2" width="16" customWidth="1"/>
    <col min="3" max="3" width="15.453125" customWidth="1"/>
    <col min="4" max="5" width="15.81640625" customWidth="1"/>
    <col min="6" max="7" width="12.36328125" bestFit="1" customWidth="1"/>
    <col min="8" max="8" width="11.54296875" bestFit="1" customWidth="1"/>
    <col min="9" max="11" width="9.81640625" bestFit="1" customWidth="1"/>
  </cols>
  <sheetData>
    <row r="1" spans="1:6" s="25" customFormat="1" ht="26" x14ac:dyDescent="0.6">
      <c r="A1" s="25" t="s">
        <v>26</v>
      </c>
      <c r="B1" s="25" t="s">
        <v>81</v>
      </c>
    </row>
    <row r="3" spans="1:6" s="2" customFormat="1" ht="21" x14ac:dyDescent="0.5">
      <c r="A3" s="31" t="s">
        <v>18</v>
      </c>
      <c r="B3" s="31"/>
      <c r="C3" s="31"/>
      <c r="D3" s="31"/>
      <c r="E3" s="26"/>
    </row>
    <row r="4" spans="1:6" s="2" customFormat="1" x14ac:dyDescent="0.35">
      <c r="A4" s="17" t="s">
        <v>22</v>
      </c>
      <c r="B4" s="17"/>
      <c r="C4" s="17"/>
      <c r="D4" s="17"/>
      <c r="E4" s="17"/>
      <c r="F4" s="17"/>
    </row>
    <row r="5" spans="1:6" x14ac:dyDescent="0.35">
      <c r="A5" t="s">
        <v>38</v>
      </c>
      <c r="B5" s="18">
        <v>1500</v>
      </c>
      <c r="C5" s="18"/>
      <c r="D5" s="18"/>
      <c r="E5" s="18"/>
      <c r="F5" s="18"/>
    </row>
    <row r="6" spans="1:6" x14ac:dyDescent="0.35">
      <c r="A6" t="s">
        <v>41</v>
      </c>
      <c r="B6" s="18" cm="1">
        <f t="array" ref="B6">_xlfn.XLOOKUP(B$5,[1]STDATM!$A$3:$A$153,[1]STDATM!$D$3:$D$153,NA,0,1)</f>
        <v>1.0580700000000001</v>
      </c>
      <c r="C6" s="18"/>
      <c r="D6" s="18"/>
      <c r="E6" s="18"/>
      <c r="F6" s="18"/>
    </row>
    <row r="7" spans="1:6" x14ac:dyDescent="0.35">
      <c r="A7" t="s">
        <v>39</v>
      </c>
      <c r="B7" s="18" cm="1">
        <f t="array" ref="B7">_xlfn.XLOOKUP(B$5,[1]STDATM!$A$3:$A$153,[1]STDATM!$F$3:$F$153,NA,0,1)</f>
        <v>1.7629799999999998E-5</v>
      </c>
      <c r="C7" s="18"/>
      <c r="D7" s="18"/>
      <c r="E7" s="18"/>
    </row>
    <row r="8" spans="1:6" x14ac:dyDescent="0.35">
      <c r="A8" t="s">
        <v>40</v>
      </c>
      <c r="B8" s="18" cm="1">
        <f t="array" ref="B8">_xlfn.XLOOKUP(B$5,[1]STDATM!$A$3:$A$153,[1]STDATM!$E$3:$E$153,NA,0,1)</f>
        <v>334.48700000000002</v>
      </c>
      <c r="C8" s="18"/>
      <c r="D8" s="18"/>
      <c r="E8" s="18"/>
    </row>
    <row r="9" spans="1:6" x14ac:dyDescent="0.35">
      <c r="A9" s="28" t="s">
        <v>42</v>
      </c>
      <c r="B9" s="29">
        <v>10</v>
      </c>
      <c r="C9" s="19"/>
      <c r="D9" s="19"/>
      <c r="E9" s="19"/>
    </row>
    <row r="10" spans="1:6" x14ac:dyDescent="0.35">
      <c r="A10" s="28" t="s">
        <v>0</v>
      </c>
      <c r="B10" s="20">
        <v>20000</v>
      </c>
      <c r="C10" s="20"/>
      <c r="D10" s="20"/>
      <c r="E10" s="20"/>
    </row>
    <row r="11" spans="1:6" x14ac:dyDescent="0.35">
      <c r="A11" t="s">
        <v>20</v>
      </c>
      <c r="B11" s="21" t="s">
        <v>21</v>
      </c>
      <c r="C11" s="21"/>
      <c r="D11" s="21"/>
      <c r="E11" s="21"/>
    </row>
    <row r="13" spans="1:6" s="3" customFormat="1" ht="21" x14ac:dyDescent="0.5">
      <c r="A13" s="16" t="s">
        <v>50</v>
      </c>
      <c r="B13" s="16"/>
      <c r="C13" s="16"/>
      <c r="D13" s="16"/>
      <c r="E13" s="16"/>
    </row>
    <row r="14" spans="1:6" x14ac:dyDescent="0.35">
      <c r="A14" t="s">
        <v>57</v>
      </c>
      <c r="B14" s="9"/>
      <c r="C14" t="s">
        <v>9</v>
      </c>
    </row>
    <row r="15" spans="1:6" x14ac:dyDescent="0.35">
      <c r="A15" t="s">
        <v>55</v>
      </c>
      <c r="B15" s="9">
        <v>1</v>
      </c>
    </row>
    <row r="16" spans="1:6" x14ac:dyDescent="0.35">
      <c r="A16" t="s">
        <v>54</v>
      </c>
      <c r="B16" s="9">
        <v>1</v>
      </c>
    </row>
    <row r="17" spans="1:12" x14ac:dyDescent="0.35">
      <c r="A17" t="s">
        <v>56</v>
      </c>
      <c r="B17" s="18">
        <v>1</v>
      </c>
    </row>
    <row r="19" spans="1:12" s="4" customFormat="1" ht="21" x14ac:dyDescent="0.5">
      <c r="A19" s="32" t="s">
        <v>19</v>
      </c>
      <c r="B19" s="32"/>
      <c r="C19" s="32"/>
      <c r="D19" s="32"/>
      <c r="E19" s="27"/>
    </row>
    <row r="20" spans="1:12" x14ac:dyDescent="0.35">
      <c r="A20" t="s">
        <v>4</v>
      </c>
      <c r="B20" s="18"/>
      <c r="C20" s="34" t="s">
        <v>82</v>
      </c>
    </row>
    <row r="21" spans="1:12" x14ac:dyDescent="0.35">
      <c r="A21" t="s">
        <v>3</v>
      </c>
      <c r="B21" s="18"/>
      <c r="C21" s="34">
        <v>8.0950000000000006</v>
      </c>
    </row>
    <row r="22" spans="1:12" x14ac:dyDescent="0.35">
      <c r="A22" t="s">
        <v>30</v>
      </c>
      <c r="B22" s="18"/>
      <c r="C22" s="34">
        <v>0.75</v>
      </c>
    </row>
    <row r="23" spans="1:12" x14ac:dyDescent="0.35">
      <c r="A23" t="s">
        <v>29</v>
      </c>
      <c r="B23" s="18"/>
      <c r="C23" s="34" t="s">
        <v>83</v>
      </c>
    </row>
    <row r="24" spans="1:12" x14ac:dyDescent="0.35">
      <c r="A24" t="s">
        <v>58</v>
      </c>
      <c r="B24" s="18"/>
      <c r="C24" s="34" t="s">
        <v>61</v>
      </c>
    </row>
    <row r="25" spans="1:12" x14ac:dyDescent="0.35">
      <c r="A25" t="s">
        <v>48</v>
      </c>
      <c r="B25" s="18"/>
      <c r="C25" s="34" t="s">
        <v>84</v>
      </c>
    </row>
    <row r="26" spans="1:12" x14ac:dyDescent="0.35">
      <c r="A26" t="s">
        <v>49</v>
      </c>
      <c r="B26" s="18"/>
      <c r="C26" s="35">
        <v>2.7300000000000001E-2</v>
      </c>
    </row>
    <row r="27" spans="1:12" x14ac:dyDescent="0.35">
      <c r="A27" t="s">
        <v>51</v>
      </c>
      <c r="C27" s="35">
        <v>5.2083300000000001</v>
      </c>
    </row>
    <row r="28" spans="1:12" x14ac:dyDescent="0.35">
      <c r="A28" t="s">
        <v>52</v>
      </c>
      <c r="C28" s="35" t="s">
        <v>85</v>
      </c>
    </row>
    <row r="29" spans="1:12" x14ac:dyDescent="0.35">
      <c r="A29" t="s">
        <v>53</v>
      </c>
      <c r="C29" s="35" t="s">
        <v>86</v>
      </c>
    </row>
    <row r="31" spans="1:12" s="8" customFormat="1" ht="21" x14ac:dyDescent="0.5">
      <c r="A31" s="33" t="s">
        <v>8</v>
      </c>
      <c r="B31" s="33"/>
      <c r="C31" s="33"/>
      <c r="D31" s="33"/>
      <c r="E31" s="33"/>
      <c r="F31" s="33"/>
      <c r="G31" s="33"/>
      <c r="H31" s="33"/>
      <c r="I31" s="33"/>
      <c r="J31" s="33"/>
      <c r="K31" s="33"/>
    </row>
    <row r="32" spans="1:12" ht="29" x14ac:dyDescent="0.35">
      <c r="A32" s="7"/>
      <c r="B32" s="7" t="s">
        <v>1</v>
      </c>
      <c r="C32" s="10" t="s">
        <v>10</v>
      </c>
      <c r="D32" s="12" t="s">
        <v>11</v>
      </c>
      <c r="E32" s="12" t="s">
        <v>27</v>
      </c>
      <c r="F32" s="12" t="s">
        <v>12</v>
      </c>
      <c r="G32" s="12" t="s">
        <v>13</v>
      </c>
      <c r="H32" s="14" t="s">
        <v>14</v>
      </c>
      <c r="I32" s="14" t="s">
        <v>15</v>
      </c>
      <c r="J32" s="14" t="s">
        <v>16</v>
      </c>
      <c r="K32" s="14" t="s">
        <v>17</v>
      </c>
      <c r="L32" s="1"/>
    </row>
    <row r="33" spans="1:11" x14ac:dyDescent="0.35">
      <c r="A33" s="7" t="s">
        <v>2</v>
      </c>
      <c r="B33" s="11" t="s">
        <v>87</v>
      </c>
      <c r="C33" s="11"/>
      <c r="D33" s="13" t="s">
        <v>44</v>
      </c>
      <c r="E33" s="13" t="s">
        <v>45</v>
      </c>
      <c r="F33" s="13" t="s">
        <v>47</v>
      </c>
      <c r="G33" s="13" t="s">
        <v>43</v>
      </c>
      <c r="H33" s="15" t="s">
        <v>46</v>
      </c>
      <c r="I33" s="15" t="s">
        <v>88</v>
      </c>
      <c r="J33" s="15" t="s">
        <v>89</v>
      </c>
      <c r="K33" s="15"/>
    </row>
    <row r="34" spans="1:11" x14ac:dyDescent="0.35">
      <c r="A34" s="5">
        <v>0</v>
      </c>
      <c r="B34" s="5">
        <v>0.70940000000000003</v>
      </c>
      <c r="C34" s="5"/>
      <c r="D34" s="6" t="s">
        <v>90</v>
      </c>
      <c r="E34" s="6" t="s">
        <v>91</v>
      </c>
      <c r="F34" s="36">
        <v>0.1226</v>
      </c>
      <c r="G34" s="6" t="s">
        <v>92</v>
      </c>
      <c r="H34" s="6" t="s">
        <v>93</v>
      </c>
      <c r="I34" s="36">
        <v>3.2</v>
      </c>
      <c r="J34" s="6" t="s">
        <v>94</v>
      </c>
      <c r="K34" s="6"/>
    </row>
    <row r="35" spans="1:11" x14ac:dyDescent="0.35">
      <c r="A35" s="5">
        <v>1</v>
      </c>
      <c r="B35" s="5">
        <v>0.74919999999999998</v>
      </c>
      <c r="C35" s="5"/>
      <c r="D35" s="6" t="s">
        <v>95</v>
      </c>
      <c r="E35" s="6" t="s">
        <v>96</v>
      </c>
      <c r="F35" s="36">
        <v>0.1227</v>
      </c>
      <c r="G35" s="6" t="s">
        <v>97</v>
      </c>
      <c r="H35" s="6" t="s">
        <v>98</v>
      </c>
      <c r="I35" s="36">
        <v>3.4</v>
      </c>
      <c r="J35" s="6" t="s">
        <v>99</v>
      </c>
      <c r="K35" s="6"/>
    </row>
    <row r="36" spans="1:11" x14ac:dyDescent="0.35">
      <c r="A36" s="5">
        <v>2</v>
      </c>
      <c r="B36" s="5">
        <v>0.78839999999999999</v>
      </c>
      <c r="C36" s="5"/>
      <c r="D36" s="6" t="s">
        <v>100</v>
      </c>
      <c r="E36" s="6" t="s">
        <v>101</v>
      </c>
      <c r="F36" s="36">
        <v>0.1227</v>
      </c>
      <c r="G36" s="6" t="s">
        <v>102</v>
      </c>
      <c r="H36" s="6" t="s">
        <v>103</v>
      </c>
      <c r="I36" s="36">
        <v>3.6</v>
      </c>
      <c r="J36" s="6" t="s">
        <v>104</v>
      </c>
      <c r="K36" s="6"/>
    </row>
    <row r="37" spans="1:11" x14ac:dyDescent="0.35">
      <c r="A37" s="5">
        <v>3</v>
      </c>
      <c r="B37" s="5">
        <v>0.82720000000000005</v>
      </c>
      <c r="C37" s="5"/>
      <c r="D37" s="6" t="s">
        <v>105</v>
      </c>
      <c r="E37" s="6" t="s">
        <v>106</v>
      </c>
      <c r="F37" s="36">
        <v>0.1227</v>
      </c>
      <c r="G37" s="6" t="s">
        <v>107</v>
      </c>
      <c r="H37" s="6" t="s">
        <v>108</v>
      </c>
      <c r="I37" s="36">
        <v>3.8</v>
      </c>
      <c r="J37" s="6" t="s">
        <v>109</v>
      </c>
      <c r="K37" s="6"/>
    </row>
    <row r="38" spans="1:11" x14ac:dyDescent="0.35">
      <c r="A38" s="5">
        <v>4</v>
      </c>
      <c r="B38" s="5">
        <v>0.86550000000000005</v>
      </c>
      <c r="C38" s="5"/>
      <c r="D38" s="6" t="s">
        <v>110</v>
      </c>
      <c r="E38" s="6" t="s">
        <v>111</v>
      </c>
      <c r="F38" s="36">
        <v>0.1227</v>
      </c>
      <c r="G38" s="6" t="s">
        <v>112</v>
      </c>
      <c r="H38" s="6" t="s">
        <v>113</v>
      </c>
      <c r="I38" s="36">
        <v>4</v>
      </c>
      <c r="J38" s="6" t="s">
        <v>114</v>
      </c>
      <c r="K38" s="6"/>
    </row>
    <row r="39" spans="1:11" x14ac:dyDescent="0.35">
      <c r="A39" s="5">
        <v>5</v>
      </c>
      <c r="B39" s="5">
        <v>0.90329999999999999</v>
      </c>
      <c r="C39" s="5"/>
      <c r="D39" s="6" t="s">
        <v>115</v>
      </c>
      <c r="E39" s="6" t="s">
        <v>116</v>
      </c>
      <c r="F39" s="36">
        <v>0.1227</v>
      </c>
      <c r="G39" s="6" t="s">
        <v>117</v>
      </c>
      <c r="H39" s="6" t="s">
        <v>118</v>
      </c>
      <c r="I39" s="36">
        <v>4.2</v>
      </c>
      <c r="J39" s="6" t="s">
        <v>119</v>
      </c>
      <c r="K39" s="6"/>
    </row>
    <row r="40" spans="1:11" x14ac:dyDescent="0.35">
      <c r="A40" s="5">
        <v>6</v>
      </c>
      <c r="B40" s="5">
        <v>0.94069999999999998</v>
      </c>
      <c r="C40" s="5"/>
      <c r="D40" s="6" t="s">
        <v>120</v>
      </c>
      <c r="E40" s="6" t="s">
        <v>121</v>
      </c>
      <c r="F40" s="36">
        <v>0.1226</v>
      </c>
      <c r="G40" s="6" t="s">
        <v>122</v>
      </c>
      <c r="H40" s="6" t="s">
        <v>123</v>
      </c>
      <c r="I40" s="36">
        <v>4.4000000000000004</v>
      </c>
      <c r="J40" s="6" t="s">
        <v>124</v>
      </c>
      <c r="K40" s="6"/>
    </row>
    <row r="41" spans="1:11" x14ac:dyDescent="0.35">
      <c r="A41" s="5">
        <v>7</v>
      </c>
      <c r="B41" s="5">
        <v>0.97760000000000002</v>
      </c>
      <c r="C41" s="5"/>
      <c r="D41" s="6" t="s">
        <v>125</v>
      </c>
      <c r="E41" s="6" t="s">
        <v>126</v>
      </c>
      <c r="F41" s="36">
        <v>0.1225</v>
      </c>
      <c r="G41" s="6" t="s">
        <v>127</v>
      </c>
      <c r="H41" s="6" t="s">
        <v>128</v>
      </c>
      <c r="I41" s="36">
        <v>4.5999999999999996</v>
      </c>
      <c r="J41" s="6" t="s">
        <v>129</v>
      </c>
      <c r="K41" s="6"/>
    </row>
    <row r="42" spans="1:11" x14ac:dyDescent="0.35">
      <c r="A42" s="5">
        <v>8</v>
      </c>
      <c r="B42" s="5">
        <v>1.0141</v>
      </c>
      <c r="C42" s="5"/>
      <c r="D42" s="6" t="s">
        <v>130</v>
      </c>
      <c r="E42" s="6" t="s">
        <v>131</v>
      </c>
      <c r="F42" s="36">
        <v>0.12239999999999999</v>
      </c>
      <c r="G42" s="6" t="s">
        <v>132</v>
      </c>
      <c r="H42" s="6" t="s">
        <v>133</v>
      </c>
      <c r="I42" s="36">
        <v>4.8</v>
      </c>
      <c r="J42" s="6" t="s">
        <v>134</v>
      </c>
      <c r="K42" s="6"/>
    </row>
    <row r="43" spans="1:11" x14ac:dyDescent="0.35">
      <c r="A43" s="5">
        <v>9</v>
      </c>
      <c r="B43" s="5">
        <v>1.0502</v>
      </c>
      <c r="C43" s="5"/>
      <c r="D43" s="6" t="s">
        <v>135</v>
      </c>
      <c r="E43" s="6" t="s">
        <v>136</v>
      </c>
      <c r="F43" s="36">
        <v>0.1222</v>
      </c>
      <c r="G43" s="6" t="s">
        <v>137</v>
      </c>
      <c r="H43" s="6" t="s">
        <v>138</v>
      </c>
      <c r="I43" s="36">
        <v>5</v>
      </c>
      <c r="J43" s="6" t="s">
        <v>139</v>
      </c>
      <c r="K43" s="6"/>
    </row>
    <row r="44" spans="1:11" x14ac:dyDescent="0.35">
      <c r="A44" s="5">
        <v>10</v>
      </c>
      <c r="B44" s="5">
        <v>1.0858000000000001</v>
      </c>
      <c r="C44" s="5"/>
      <c r="D44" s="6" t="s">
        <v>140</v>
      </c>
      <c r="E44" s="6" t="s">
        <v>141</v>
      </c>
      <c r="F44" s="36">
        <v>0.1221</v>
      </c>
      <c r="G44" s="6" t="s">
        <v>142</v>
      </c>
      <c r="H44" s="6" t="s">
        <v>143</v>
      </c>
      <c r="I44" s="36">
        <v>5.2</v>
      </c>
      <c r="J44" s="6" t="s">
        <v>144</v>
      </c>
      <c r="K44" s="6"/>
    </row>
    <row r="45" spans="1:11" x14ac:dyDescent="0.35">
      <c r="A45" s="5"/>
      <c r="B45" s="5"/>
      <c r="C45" s="5"/>
      <c r="D45" s="6"/>
      <c r="E45" s="6"/>
      <c r="F45" s="6"/>
      <c r="G45" s="6"/>
      <c r="H45" s="6"/>
      <c r="I45" s="6"/>
      <c r="J45" s="6"/>
      <c r="K45" s="6"/>
    </row>
    <row r="46" spans="1:11" x14ac:dyDescent="0.35">
      <c r="A46" s="5"/>
      <c r="B46" s="5"/>
      <c r="C46" s="5"/>
      <c r="D46" s="6"/>
      <c r="E46" s="6"/>
      <c r="F46" s="6"/>
      <c r="G46" s="6"/>
      <c r="H46" s="6"/>
      <c r="I46" s="6"/>
      <c r="J46" s="6"/>
      <c r="K46" s="6"/>
    </row>
    <row r="47" spans="1:11" x14ac:dyDescent="0.35">
      <c r="A47" s="5"/>
      <c r="B47" s="5"/>
      <c r="C47" s="5"/>
      <c r="D47" s="6"/>
      <c r="E47" s="6"/>
      <c r="F47" s="6"/>
      <c r="G47" s="6"/>
      <c r="H47" s="6"/>
      <c r="I47" s="6"/>
      <c r="J47" s="6"/>
      <c r="K47" s="6"/>
    </row>
    <row r="48" spans="1:11" x14ac:dyDescent="0.35">
      <c r="A48" s="5"/>
      <c r="B48" s="5"/>
      <c r="C48" s="5"/>
      <c r="D48" s="6"/>
      <c r="E48" s="6"/>
      <c r="F48" s="6"/>
      <c r="G48" s="6"/>
      <c r="H48" s="6"/>
      <c r="I48" s="6"/>
      <c r="J48" s="6"/>
      <c r="K48" s="6"/>
    </row>
  </sheetData>
  <mergeCells count="3">
    <mergeCell ref="A3:D3"/>
    <mergeCell ref="A19:D19"/>
    <mergeCell ref="A31:K31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477EB-473A-4CA5-8DEA-85CB1DC32165}">
  <dimension ref="A1:L49"/>
  <sheetViews>
    <sheetView tabSelected="1" topLeftCell="C22" zoomScale="150" zoomScaleNormal="150" workbookViewId="0">
      <selection activeCell="B35" sqref="B35"/>
    </sheetView>
  </sheetViews>
  <sheetFormatPr defaultRowHeight="14.5" x14ac:dyDescent="0.35"/>
  <cols>
    <col min="1" max="1" width="36" bestFit="1" customWidth="1"/>
    <col min="2" max="2" width="16" customWidth="1"/>
    <col min="3" max="3" width="15.453125" customWidth="1"/>
    <col min="4" max="5" width="15.81640625" customWidth="1"/>
    <col min="6" max="7" width="12.36328125" bestFit="1" customWidth="1"/>
    <col min="8" max="8" width="11.54296875" bestFit="1" customWidth="1"/>
    <col min="9" max="11" width="9.81640625" bestFit="1" customWidth="1"/>
  </cols>
  <sheetData>
    <row r="1" spans="1:11" s="25" customFormat="1" ht="26" x14ac:dyDescent="0.6">
      <c r="A1" s="37" t="s">
        <v>26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x14ac:dyDescent="0.35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</row>
    <row r="3" spans="1:11" s="2" customFormat="1" ht="21" x14ac:dyDescent="0.5">
      <c r="A3" s="59" t="s">
        <v>18</v>
      </c>
      <c r="B3" s="59"/>
      <c r="C3" s="59"/>
      <c r="D3" s="59"/>
      <c r="E3" s="39"/>
      <c r="F3" s="40"/>
      <c r="G3" s="40"/>
      <c r="H3" s="40"/>
      <c r="I3" s="40"/>
      <c r="J3" s="40"/>
      <c r="K3" s="40"/>
    </row>
    <row r="4" spans="1:11" s="2" customFormat="1" x14ac:dyDescent="0.35">
      <c r="A4" s="41" t="s">
        <v>22</v>
      </c>
      <c r="B4" s="41"/>
      <c r="C4" s="41"/>
      <c r="D4" s="41"/>
      <c r="E4" s="41"/>
      <c r="F4" s="41"/>
      <c r="G4" s="40"/>
      <c r="H4" s="40"/>
      <c r="I4" s="40"/>
      <c r="J4" s="40"/>
      <c r="K4" s="40"/>
    </row>
    <row r="5" spans="1:11" x14ac:dyDescent="0.35">
      <c r="A5" s="38" t="s">
        <v>38</v>
      </c>
      <c r="B5" s="42">
        <v>1500</v>
      </c>
      <c r="C5" s="42"/>
      <c r="D5" s="42"/>
      <c r="E5" s="42"/>
      <c r="F5" s="42"/>
      <c r="G5" s="38"/>
      <c r="H5" s="38"/>
      <c r="I5" s="38"/>
      <c r="J5" s="38"/>
      <c r="K5" s="38"/>
    </row>
    <row r="6" spans="1:11" x14ac:dyDescent="0.35">
      <c r="A6" s="38" t="s">
        <v>41</v>
      </c>
      <c r="B6" s="42">
        <v>1.0580700000000001</v>
      </c>
      <c r="C6" s="42"/>
      <c r="D6" s="42"/>
      <c r="E6" s="42"/>
      <c r="F6" s="42"/>
      <c r="G6" s="38"/>
      <c r="H6" s="38"/>
      <c r="I6" s="38"/>
      <c r="J6" s="38"/>
      <c r="K6" s="38"/>
    </row>
    <row r="7" spans="1:11" x14ac:dyDescent="0.35">
      <c r="A7" s="38" t="s">
        <v>39</v>
      </c>
      <c r="B7" s="43">
        <v>1.7629799999999998E-5</v>
      </c>
      <c r="C7" s="42"/>
      <c r="D7" s="42"/>
      <c r="E7" s="42"/>
      <c r="F7" s="38"/>
      <c r="G7" s="38"/>
      <c r="H7" s="38"/>
      <c r="I7" s="38"/>
      <c r="J7" s="38"/>
      <c r="K7" s="38"/>
    </row>
    <row r="8" spans="1:11" x14ac:dyDescent="0.35">
      <c r="A8" s="38" t="s">
        <v>40</v>
      </c>
      <c r="B8" s="42">
        <v>334.48700000000002</v>
      </c>
      <c r="C8" s="42"/>
      <c r="D8" s="42"/>
      <c r="E8" s="42"/>
      <c r="F8" s="38"/>
      <c r="G8" s="38"/>
      <c r="H8" s="38"/>
      <c r="I8" s="38"/>
      <c r="J8" s="38"/>
      <c r="K8" s="38"/>
    </row>
    <row r="9" spans="1:11" x14ac:dyDescent="0.35">
      <c r="A9" s="28" t="s">
        <v>42</v>
      </c>
      <c r="B9" s="29">
        <v>10</v>
      </c>
      <c r="C9" s="19"/>
      <c r="D9" s="19"/>
      <c r="E9" s="19"/>
      <c r="F9" s="38"/>
      <c r="G9" s="38"/>
      <c r="H9" s="38"/>
      <c r="I9" s="38"/>
      <c r="J9" s="38"/>
      <c r="K9" s="38"/>
    </row>
    <row r="10" spans="1:11" x14ac:dyDescent="0.35">
      <c r="A10" s="28" t="s">
        <v>0</v>
      </c>
      <c r="B10" s="20">
        <v>150000</v>
      </c>
      <c r="C10" s="19"/>
      <c r="D10" s="19"/>
      <c r="E10" s="19"/>
      <c r="F10" s="38"/>
      <c r="G10" s="38"/>
      <c r="H10" s="38"/>
      <c r="I10" s="38"/>
      <c r="J10" s="38"/>
      <c r="K10" s="38"/>
    </row>
    <row r="11" spans="1:11" x14ac:dyDescent="0.35">
      <c r="A11" s="38" t="s">
        <v>20</v>
      </c>
      <c r="B11" s="42" t="s">
        <v>21</v>
      </c>
      <c r="C11" s="42"/>
      <c r="D11" s="42"/>
      <c r="E11" s="42"/>
      <c r="F11" s="38"/>
      <c r="G11" s="38"/>
      <c r="H11" s="38"/>
      <c r="I11" s="38"/>
      <c r="J11" s="38"/>
      <c r="K11" s="38"/>
    </row>
    <row r="12" spans="1:11" x14ac:dyDescent="0.35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</row>
    <row r="13" spans="1:11" s="3" customFormat="1" ht="21" x14ac:dyDescent="0.5">
      <c r="A13" s="44" t="s">
        <v>50</v>
      </c>
      <c r="B13" s="44"/>
      <c r="C13" s="44"/>
      <c r="D13" s="44"/>
      <c r="E13" s="44"/>
      <c r="F13" s="45"/>
      <c r="G13" s="45"/>
      <c r="H13" s="45"/>
      <c r="I13" s="45"/>
      <c r="J13" s="45"/>
      <c r="K13" s="45"/>
    </row>
    <row r="14" spans="1:11" x14ac:dyDescent="0.35">
      <c r="A14" s="38" t="s">
        <v>57</v>
      </c>
      <c r="B14" s="46"/>
      <c r="C14" s="38" t="s">
        <v>9</v>
      </c>
      <c r="D14" s="38"/>
      <c r="E14" s="38"/>
      <c r="F14" s="38"/>
      <c r="G14" s="38"/>
      <c r="H14" s="38"/>
      <c r="I14" s="38"/>
      <c r="J14" s="38"/>
      <c r="K14" s="38"/>
    </row>
    <row r="15" spans="1:11" x14ac:dyDescent="0.35">
      <c r="A15" s="38" t="s">
        <v>55</v>
      </c>
      <c r="B15" s="46">
        <v>1</v>
      </c>
      <c r="C15" s="38"/>
      <c r="D15" s="38"/>
      <c r="E15" s="38"/>
      <c r="F15" s="38"/>
      <c r="G15" s="38"/>
      <c r="H15" s="38"/>
      <c r="I15" s="38"/>
      <c r="J15" s="38"/>
      <c r="K15" s="38"/>
    </row>
    <row r="16" spans="1:11" x14ac:dyDescent="0.35">
      <c r="A16" s="38" t="s">
        <v>54</v>
      </c>
      <c r="B16" s="46">
        <v>1</v>
      </c>
      <c r="C16" s="38"/>
      <c r="D16" s="38"/>
      <c r="E16" s="38"/>
      <c r="F16" s="38"/>
      <c r="G16" s="38"/>
      <c r="H16" s="38"/>
      <c r="I16" s="38"/>
      <c r="J16" s="38"/>
      <c r="K16" s="38"/>
    </row>
    <row r="17" spans="1:12" x14ac:dyDescent="0.35">
      <c r="A17" s="38" t="s">
        <v>56</v>
      </c>
      <c r="B17" s="42">
        <v>1</v>
      </c>
      <c r="C17" s="38"/>
      <c r="D17" s="38"/>
      <c r="E17" s="38"/>
      <c r="F17" s="38"/>
      <c r="G17" s="38"/>
      <c r="H17" s="38"/>
      <c r="I17" s="38"/>
      <c r="J17" s="38"/>
      <c r="K17" s="38"/>
    </row>
    <row r="18" spans="1:12" x14ac:dyDescent="0.35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</row>
    <row r="19" spans="1:12" s="4" customFormat="1" ht="21" x14ac:dyDescent="0.5">
      <c r="A19" s="60" t="s">
        <v>19</v>
      </c>
      <c r="B19" s="60"/>
      <c r="C19" s="60"/>
      <c r="D19" s="60"/>
      <c r="E19" s="47"/>
      <c r="F19" s="48"/>
      <c r="G19" s="48"/>
      <c r="H19" s="48"/>
      <c r="I19" s="48"/>
      <c r="J19" s="48"/>
      <c r="K19" s="48"/>
    </row>
    <row r="20" spans="1:12" x14ac:dyDescent="0.35">
      <c r="A20" s="38" t="s">
        <v>4</v>
      </c>
      <c r="B20" s="49">
        <v>8.9249999999999996E-2</v>
      </c>
      <c r="C20" s="42" t="s">
        <v>28</v>
      </c>
      <c r="D20" s="38"/>
      <c r="E20" s="38"/>
      <c r="F20" s="38"/>
      <c r="G20" s="38"/>
      <c r="H20" s="38"/>
      <c r="I20" s="38"/>
      <c r="J20" s="38"/>
      <c r="K20" s="38"/>
    </row>
    <row r="21" spans="1:12" x14ac:dyDescent="0.35">
      <c r="A21" s="38" t="s">
        <v>3</v>
      </c>
      <c r="B21" s="49">
        <v>8.0950000000000006</v>
      </c>
      <c r="C21" s="42"/>
      <c r="D21" s="38"/>
      <c r="E21" s="38"/>
      <c r="F21" s="38"/>
      <c r="G21" s="38"/>
      <c r="H21" s="38"/>
      <c r="I21" s="38"/>
      <c r="J21" s="38"/>
      <c r="K21" s="38"/>
    </row>
    <row r="22" spans="1:12" x14ac:dyDescent="0.35">
      <c r="A22" s="38" t="s">
        <v>30</v>
      </c>
      <c r="B22" s="42">
        <v>0.75</v>
      </c>
      <c r="C22" s="42"/>
      <c r="D22" s="38"/>
      <c r="E22" s="38"/>
      <c r="F22" s="38"/>
      <c r="G22" s="38"/>
      <c r="H22" s="38"/>
      <c r="I22" s="38"/>
      <c r="J22" s="38"/>
      <c r="K22" s="38"/>
    </row>
    <row r="23" spans="1:12" x14ac:dyDescent="0.35">
      <c r="A23" s="38" t="s">
        <v>29</v>
      </c>
      <c r="B23" s="49">
        <v>6.7</v>
      </c>
      <c r="C23" s="42" t="s">
        <v>5</v>
      </c>
      <c r="D23" s="38"/>
      <c r="E23" s="38"/>
      <c r="F23" s="38"/>
      <c r="G23" s="38"/>
      <c r="H23" s="38"/>
      <c r="I23" s="38"/>
      <c r="J23" s="38"/>
      <c r="K23" s="38"/>
    </row>
    <row r="24" spans="1:12" x14ac:dyDescent="0.35">
      <c r="A24" s="38" t="s">
        <v>58</v>
      </c>
      <c r="B24" s="42" t="s">
        <v>61</v>
      </c>
      <c r="C24" s="42"/>
      <c r="D24" s="38"/>
      <c r="E24" s="38"/>
      <c r="F24" s="38"/>
      <c r="G24" s="38"/>
      <c r="H24" s="38"/>
      <c r="I24" s="38"/>
      <c r="J24" s="38"/>
      <c r="K24" s="38"/>
    </row>
    <row r="25" spans="1:12" x14ac:dyDescent="0.35">
      <c r="A25" s="38" t="s">
        <v>48</v>
      </c>
      <c r="B25" s="42" t="s">
        <v>145</v>
      </c>
      <c r="C25" s="38"/>
      <c r="D25" s="38"/>
      <c r="E25" s="38"/>
      <c r="F25" s="38"/>
      <c r="G25" s="38"/>
      <c r="H25" s="38"/>
      <c r="I25" s="38"/>
      <c r="J25" s="38"/>
      <c r="K25" s="38"/>
    </row>
    <row r="26" spans="1:12" x14ac:dyDescent="0.35">
      <c r="A26" s="38" t="s">
        <v>49</v>
      </c>
      <c r="B26" s="42" t="s">
        <v>145</v>
      </c>
      <c r="C26" s="38"/>
      <c r="D26" s="38"/>
      <c r="E26" s="38"/>
      <c r="F26" s="38"/>
      <c r="G26" s="38"/>
      <c r="H26" s="38"/>
      <c r="I26" s="38"/>
      <c r="J26" s="38"/>
      <c r="K26" s="38"/>
    </row>
    <row r="27" spans="1:12" x14ac:dyDescent="0.35">
      <c r="A27" s="38" t="s">
        <v>51</v>
      </c>
      <c r="B27" s="38"/>
      <c r="C27" s="38"/>
      <c r="D27" s="38"/>
      <c r="E27" s="38"/>
      <c r="F27" s="38"/>
      <c r="G27" s="38"/>
      <c r="H27" s="38"/>
      <c r="I27" s="38"/>
      <c r="J27" s="38"/>
      <c r="K27" s="38"/>
    </row>
    <row r="28" spans="1:12" x14ac:dyDescent="0.35">
      <c r="A28" s="38" t="s">
        <v>52</v>
      </c>
      <c r="B28" s="38">
        <v>0.12</v>
      </c>
      <c r="C28" s="46" t="s">
        <v>59</v>
      </c>
      <c r="D28" s="38"/>
      <c r="E28" s="38"/>
      <c r="F28" s="38"/>
      <c r="G28" s="38"/>
      <c r="H28" s="38"/>
      <c r="I28" s="38"/>
      <c r="J28" s="38"/>
      <c r="K28" s="38"/>
    </row>
    <row r="29" spans="1:12" x14ac:dyDescent="0.35">
      <c r="A29" s="38" t="s">
        <v>53</v>
      </c>
      <c r="B29" s="38"/>
      <c r="C29" s="46" t="s">
        <v>59</v>
      </c>
      <c r="D29" s="38"/>
      <c r="E29" s="38"/>
      <c r="F29" s="38"/>
      <c r="G29" s="38"/>
      <c r="H29" s="38"/>
      <c r="I29" s="38"/>
      <c r="J29" s="38"/>
      <c r="K29" s="38"/>
    </row>
    <row r="30" spans="1:12" x14ac:dyDescent="0.35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</row>
    <row r="31" spans="1:12" s="8" customFormat="1" ht="21" x14ac:dyDescent="0.5">
      <c r="A31" s="61" t="s">
        <v>8</v>
      </c>
      <c r="B31" s="61"/>
      <c r="C31" s="61"/>
      <c r="D31" s="61"/>
      <c r="E31" s="61"/>
      <c r="F31" s="61"/>
      <c r="G31" s="61"/>
      <c r="H31" s="61"/>
      <c r="I31" s="61"/>
      <c r="J31" s="61"/>
      <c r="K31" s="61"/>
    </row>
    <row r="32" spans="1:12" ht="14.5" customHeight="1" x14ac:dyDescent="0.35">
      <c r="A32" s="62"/>
      <c r="B32" s="62" t="s">
        <v>1</v>
      </c>
      <c r="C32" s="64" t="s">
        <v>10</v>
      </c>
      <c r="D32" s="50" t="s">
        <v>146</v>
      </c>
      <c r="E32" s="66" t="s">
        <v>27</v>
      </c>
      <c r="F32" s="50" t="s">
        <v>146</v>
      </c>
      <c r="G32" s="50" t="s">
        <v>146</v>
      </c>
      <c r="H32" s="52" t="s">
        <v>150</v>
      </c>
      <c r="I32" s="52" t="s">
        <v>150</v>
      </c>
      <c r="J32" s="52" t="s">
        <v>150</v>
      </c>
      <c r="K32" s="52" t="s">
        <v>150</v>
      </c>
      <c r="L32" s="1"/>
    </row>
    <row r="33" spans="1:11" x14ac:dyDescent="0.35">
      <c r="A33" s="63"/>
      <c r="B33" s="63"/>
      <c r="C33" s="65"/>
      <c r="D33" s="51" t="s">
        <v>147</v>
      </c>
      <c r="E33" s="67"/>
      <c r="F33" s="51" t="s">
        <v>148</v>
      </c>
      <c r="G33" s="51" t="s">
        <v>149</v>
      </c>
      <c r="H33" s="53" t="s">
        <v>147</v>
      </c>
      <c r="I33" s="53" t="s">
        <v>151</v>
      </c>
      <c r="J33" s="53" t="s">
        <v>148</v>
      </c>
      <c r="K33" s="53" t="s">
        <v>149</v>
      </c>
    </row>
    <row r="34" spans="1:11" x14ac:dyDescent="0.35">
      <c r="A34" s="54" t="s">
        <v>2</v>
      </c>
      <c r="B34" s="55" t="s">
        <v>53</v>
      </c>
      <c r="C34" s="55"/>
      <c r="D34" s="56" t="s">
        <v>44</v>
      </c>
      <c r="E34" s="56" t="s">
        <v>45</v>
      </c>
      <c r="F34" s="56" t="s">
        <v>47</v>
      </c>
      <c r="G34" s="56" t="s">
        <v>43</v>
      </c>
      <c r="H34" s="57" t="s">
        <v>46</v>
      </c>
      <c r="I34" s="57" t="s">
        <v>152</v>
      </c>
      <c r="J34" s="57" t="s">
        <v>153</v>
      </c>
      <c r="K34" s="57"/>
    </row>
    <row r="35" spans="1:11" x14ac:dyDescent="0.35">
      <c r="A35" s="49">
        <v>1</v>
      </c>
      <c r="B35" s="49">
        <v>0.4</v>
      </c>
      <c r="C35" s="49"/>
      <c r="D35" s="58">
        <v>157.45526459999999</v>
      </c>
      <c r="E35" s="58">
        <v>10.36002974</v>
      </c>
      <c r="F35" s="58">
        <v>0.22519979100000001</v>
      </c>
      <c r="G35" s="58">
        <v>1.992018751</v>
      </c>
      <c r="H35" s="58">
        <v>15.46127107</v>
      </c>
      <c r="I35" s="58">
        <v>1.4307151000000001E-2</v>
      </c>
      <c r="J35" s="58">
        <v>2.9563305880000001</v>
      </c>
      <c r="K35" s="58"/>
    </row>
    <row r="36" spans="1:11" x14ac:dyDescent="0.35">
      <c r="A36" s="49">
        <v>2</v>
      </c>
      <c r="B36" s="49">
        <v>0.5</v>
      </c>
      <c r="C36" s="49"/>
      <c r="D36" s="58">
        <v>154.12514469999999</v>
      </c>
      <c r="E36" s="58">
        <v>10.463998739999999</v>
      </c>
      <c r="F36" s="58">
        <v>0.19382234000000001</v>
      </c>
      <c r="G36" s="58">
        <v>2.032403966</v>
      </c>
      <c r="H36" s="58">
        <v>15.2913201</v>
      </c>
      <c r="I36" s="58">
        <v>1.5282248E-2</v>
      </c>
      <c r="J36" s="38">
        <v>2.0734764800000001</v>
      </c>
      <c r="K36" s="58"/>
    </row>
    <row r="37" spans="1:11" x14ac:dyDescent="0.35">
      <c r="A37" s="49">
        <v>3</v>
      </c>
      <c r="B37" s="49">
        <v>0.55000000000000004</v>
      </c>
      <c r="C37" s="49"/>
      <c r="D37" s="58">
        <v>152.45838900000001</v>
      </c>
      <c r="E37" s="58">
        <v>10.51556089</v>
      </c>
      <c r="F37" s="58">
        <v>0.178725158</v>
      </c>
      <c r="G37" s="58">
        <v>2.0525965730000002</v>
      </c>
      <c r="H37" s="58">
        <v>15.21161077</v>
      </c>
      <c r="I37" s="58">
        <v>1.5819885999999998E-2</v>
      </c>
      <c r="J37" s="58">
        <v>1.750170242</v>
      </c>
      <c r="K37" s="58"/>
    </row>
    <row r="38" spans="1:11" x14ac:dyDescent="0.35">
      <c r="A38" s="49">
        <v>4</v>
      </c>
      <c r="B38" s="49">
        <v>0.6</v>
      </c>
      <c r="C38" s="49"/>
      <c r="D38" s="58">
        <v>150.78477820000001</v>
      </c>
      <c r="E38" s="58">
        <v>10.5668506</v>
      </c>
      <c r="F38" s="58">
        <v>0.16402555799999999</v>
      </c>
      <c r="G38" s="58">
        <v>2.07278918</v>
      </c>
      <c r="H38" s="58">
        <v>15.13322687</v>
      </c>
      <c r="I38" s="58">
        <v>1.6382186999999999E-2</v>
      </c>
      <c r="J38" s="58">
        <v>1.4809808790000001</v>
      </c>
      <c r="K38" s="58"/>
    </row>
    <row r="39" spans="1:11" x14ac:dyDescent="0.35">
      <c r="A39" s="49">
        <v>5</v>
      </c>
      <c r="B39" s="49">
        <v>0.625</v>
      </c>
      <c r="C39" s="49"/>
      <c r="D39" s="58">
        <v>149.88687379999999</v>
      </c>
      <c r="E39" s="58">
        <v>10.59239518</v>
      </c>
      <c r="F39" s="58">
        <v>0.156825573</v>
      </c>
      <c r="G39" s="58">
        <v>2.0828854840000002</v>
      </c>
      <c r="H39" s="58">
        <v>15.08835275</v>
      </c>
      <c r="I39" s="58">
        <v>1.6671032999999998E-2</v>
      </c>
      <c r="J39" s="58">
        <v>1.36286475</v>
      </c>
      <c r="K39" s="58"/>
    </row>
    <row r="40" spans="1:11" x14ac:dyDescent="0.35">
      <c r="A40" s="49">
        <v>6</v>
      </c>
      <c r="B40" s="49">
        <v>0.65</v>
      </c>
      <c r="C40" s="49"/>
      <c r="D40" s="58">
        <v>149.03829020000001</v>
      </c>
      <c r="E40" s="58">
        <v>10.61787384</v>
      </c>
      <c r="F40" s="58">
        <v>0.149725838</v>
      </c>
      <c r="G40" s="58">
        <v>2.0929817879999999</v>
      </c>
      <c r="H40" s="58">
        <v>15.048608290000001</v>
      </c>
      <c r="I40" s="58">
        <v>1.6964323E-2</v>
      </c>
      <c r="J40" s="58">
        <v>1.2541427540000001</v>
      </c>
      <c r="K40" s="58"/>
    </row>
    <row r="41" spans="1:11" x14ac:dyDescent="0.35">
      <c r="A41" s="49">
        <v>7</v>
      </c>
      <c r="B41" s="49">
        <v>0.7</v>
      </c>
      <c r="C41" s="49"/>
      <c r="D41" s="58">
        <v>147.38939099999999</v>
      </c>
      <c r="E41" s="58">
        <v>10.66865245</v>
      </c>
      <c r="F41" s="58">
        <v>0.13582820800000001</v>
      </c>
      <c r="G41" s="58">
        <v>2.1131743950000001</v>
      </c>
      <c r="H41" s="58">
        <v>14.969729360000001</v>
      </c>
      <c r="I41" s="58">
        <v>1.756251E-2</v>
      </c>
      <c r="J41" s="58">
        <v>1.0610760429999999</v>
      </c>
      <c r="K41" s="58"/>
    </row>
    <row r="42" spans="1:11" x14ac:dyDescent="0.35">
      <c r="A42" s="49">
        <v>8</v>
      </c>
      <c r="B42" s="49">
        <v>0.75</v>
      </c>
      <c r="C42" s="49"/>
      <c r="D42" s="58">
        <v>145.7031016</v>
      </c>
      <c r="E42" s="58">
        <v>10.719190230000001</v>
      </c>
      <c r="F42" s="58">
        <v>0.122334796</v>
      </c>
      <c r="G42" s="58">
        <v>2.133367003</v>
      </c>
      <c r="H42" s="58">
        <v>14.88302932</v>
      </c>
      <c r="I42" s="58">
        <v>1.8173772000000001E-2</v>
      </c>
      <c r="J42" s="58">
        <v>0.895376591</v>
      </c>
      <c r="K42" s="58"/>
    </row>
    <row r="43" spans="1:11" x14ac:dyDescent="0.35">
      <c r="A43" s="49">
        <v>9</v>
      </c>
      <c r="B43" s="49">
        <v>0.8</v>
      </c>
      <c r="C43" s="49"/>
      <c r="D43" s="58">
        <v>144.0889688</v>
      </c>
      <c r="E43" s="58">
        <v>10.76947764</v>
      </c>
      <c r="F43" s="58">
        <v>0.109247651</v>
      </c>
      <c r="G43" s="58">
        <v>2.1535596099999998</v>
      </c>
      <c r="H43" s="58">
        <v>14.8032504</v>
      </c>
      <c r="I43" s="58">
        <v>1.879575E-2</v>
      </c>
      <c r="J43" s="58">
        <v>0.75216719799999998</v>
      </c>
      <c r="K43" s="58"/>
    </row>
    <row r="44" spans="1:11" x14ac:dyDescent="0.35">
      <c r="A44" s="49"/>
      <c r="B44" s="49"/>
      <c r="C44" s="49"/>
      <c r="D44" s="58"/>
      <c r="E44" s="58"/>
      <c r="F44" s="58"/>
      <c r="G44" s="58"/>
      <c r="H44" s="58"/>
      <c r="I44" s="58"/>
      <c r="J44" s="58"/>
      <c r="K44" s="58"/>
    </row>
    <row r="45" spans="1:11" x14ac:dyDescent="0.35">
      <c r="A45" s="49"/>
      <c r="B45" s="49"/>
      <c r="C45" s="49"/>
      <c r="D45" s="58"/>
      <c r="E45" s="58"/>
      <c r="F45" s="58"/>
      <c r="G45" s="58"/>
      <c r="H45" s="58"/>
      <c r="I45" s="58"/>
      <c r="J45" s="58"/>
      <c r="K45" s="58"/>
    </row>
    <row r="46" spans="1:11" x14ac:dyDescent="0.35">
      <c r="A46" s="49"/>
      <c r="B46" s="49"/>
      <c r="C46" s="49"/>
      <c r="D46" s="58"/>
      <c r="E46" s="58"/>
      <c r="F46" s="58"/>
      <c r="G46" s="58"/>
      <c r="H46" s="58"/>
      <c r="I46" s="58"/>
      <c r="J46" s="58"/>
      <c r="K46" s="58"/>
    </row>
    <row r="47" spans="1:11" x14ac:dyDescent="0.35">
      <c r="A47" s="49"/>
      <c r="B47" s="49"/>
      <c r="C47" s="49"/>
      <c r="D47" s="58"/>
      <c r="E47" s="58"/>
      <c r="F47" s="58"/>
      <c r="G47" s="58"/>
      <c r="H47" s="58"/>
      <c r="I47" s="58"/>
      <c r="J47" s="58"/>
      <c r="K47" s="58"/>
    </row>
    <row r="48" spans="1:11" x14ac:dyDescent="0.35">
      <c r="A48" s="49"/>
      <c r="B48" s="49"/>
      <c r="C48" s="49"/>
      <c r="D48" s="58"/>
      <c r="E48" s="58"/>
      <c r="F48" s="58"/>
      <c r="G48" s="58"/>
      <c r="H48" s="58"/>
      <c r="I48" s="58"/>
      <c r="J48" s="58"/>
      <c r="K48" s="58"/>
    </row>
    <row r="49" spans="1:11" x14ac:dyDescent="0.35">
      <c r="A49" s="49"/>
      <c r="B49" s="49"/>
      <c r="C49" s="49"/>
      <c r="D49" s="58"/>
      <c r="E49" s="58"/>
      <c r="F49" s="58"/>
      <c r="G49" s="58"/>
      <c r="H49" s="58"/>
      <c r="I49" s="58"/>
      <c r="J49" s="58"/>
      <c r="K49" s="58"/>
    </row>
  </sheetData>
  <mergeCells count="7">
    <mergeCell ref="A3:D3"/>
    <mergeCell ref="A19:D19"/>
    <mergeCell ref="A31:K31"/>
    <mergeCell ref="A32:A33"/>
    <mergeCell ref="B32:B33"/>
    <mergeCell ref="C32:C33"/>
    <mergeCell ref="E32:E3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CA28A-54ED-42FD-B9FC-C379547FBAF3}">
  <dimension ref="A1:L48"/>
  <sheetViews>
    <sheetView topLeftCell="A25" zoomScale="150" zoomScaleNormal="150" workbookViewId="0">
      <selection activeCell="B10" sqref="B10"/>
    </sheetView>
  </sheetViews>
  <sheetFormatPr defaultRowHeight="14.5" x14ac:dyDescent="0.35"/>
  <cols>
    <col min="1" max="1" width="36" bestFit="1" customWidth="1"/>
    <col min="2" max="2" width="16" customWidth="1"/>
    <col min="3" max="3" width="15.453125" customWidth="1"/>
    <col min="4" max="5" width="15.81640625" customWidth="1"/>
    <col min="6" max="7" width="12.36328125" bestFit="1" customWidth="1"/>
    <col min="8" max="8" width="11.54296875" bestFit="1" customWidth="1"/>
    <col min="9" max="11" width="9.81640625" bestFit="1" customWidth="1"/>
  </cols>
  <sheetData>
    <row r="1" spans="1:6" s="25" customFormat="1" ht="26" x14ac:dyDescent="0.6">
      <c r="A1" s="25" t="s">
        <v>154</v>
      </c>
    </row>
    <row r="3" spans="1:6" s="2" customFormat="1" ht="21" x14ac:dyDescent="0.5">
      <c r="A3" s="31" t="s">
        <v>18</v>
      </c>
      <c r="B3" s="31"/>
      <c r="C3" s="31"/>
      <c r="D3" s="31"/>
      <c r="E3" s="26"/>
    </row>
    <row r="4" spans="1:6" s="2" customFormat="1" x14ac:dyDescent="0.35">
      <c r="A4" s="17" t="s">
        <v>22</v>
      </c>
      <c r="B4" s="17"/>
      <c r="C4" s="17"/>
      <c r="D4" s="17"/>
      <c r="E4" s="17"/>
      <c r="F4" s="17"/>
    </row>
    <row r="5" spans="1:6" x14ac:dyDescent="0.35">
      <c r="A5" t="s">
        <v>38</v>
      </c>
      <c r="B5" s="18">
        <v>1500</v>
      </c>
      <c r="C5" s="18"/>
      <c r="D5" s="18"/>
      <c r="E5" s="18"/>
      <c r="F5" s="18"/>
    </row>
    <row r="6" spans="1:6" x14ac:dyDescent="0.35">
      <c r="A6" t="s">
        <v>41</v>
      </c>
      <c r="B6" s="18" cm="1">
        <f t="array" ref="B6">_xlfn.XLOOKUP(B$5,STDATM!$A$3:$A$153,STDATM!$D$3:$D$153,NA,0,1)</f>
        <v>1.0580700000000001</v>
      </c>
      <c r="C6" s="18"/>
      <c r="D6" s="18"/>
      <c r="E6" s="18"/>
      <c r="F6" s="18"/>
    </row>
    <row r="7" spans="1:6" x14ac:dyDescent="0.35">
      <c r="A7" t="s">
        <v>39</v>
      </c>
      <c r="B7" s="18" cm="1">
        <f t="array" ref="B7">_xlfn.XLOOKUP(B$5,STDATM!$A$3:$A$153,STDATM!$F$3:$F$153,NA,0,1)</f>
        <v>1.7629799999999998E-5</v>
      </c>
      <c r="C7" s="18"/>
      <c r="D7" s="18"/>
      <c r="E7" s="18"/>
    </row>
    <row r="8" spans="1:6" x14ac:dyDescent="0.35">
      <c r="A8" t="s">
        <v>40</v>
      </c>
      <c r="B8" s="18" cm="1">
        <f t="array" ref="B8">_xlfn.XLOOKUP(B$5,STDATM!$A$3:$A$153,STDATM!$E$3:$E$153,NA,0,1)</f>
        <v>334.48700000000002</v>
      </c>
      <c r="C8" s="18"/>
      <c r="D8" s="18"/>
      <c r="E8" s="18"/>
    </row>
    <row r="9" spans="1:6" x14ac:dyDescent="0.35">
      <c r="A9" s="28" t="s">
        <v>42</v>
      </c>
      <c r="B9" s="29">
        <v>10</v>
      </c>
      <c r="C9" s="19"/>
      <c r="D9" s="19"/>
      <c r="E9" s="19"/>
    </row>
    <row r="10" spans="1:6" x14ac:dyDescent="0.35">
      <c r="A10" s="28" t="s">
        <v>0</v>
      </c>
      <c r="B10" s="20">
        <v>200000</v>
      </c>
      <c r="C10" s="20"/>
      <c r="D10" s="20"/>
      <c r="E10" s="20"/>
    </row>
    <row r="11" spans="1:6" x14ac:dyDescent="0.35">
      <c r="A11" t="s">
        <v>20</v>
      </c>
      <c r="B11" s="21" t="s">
        <v>21</v>
      </c>
      <c r="C11" s="21"/>
      <c r="D11" s="21"/>
      <c r="E11" s="21"/>
    </row>
    <row r="13" spans="1:6" s="3" customFormat="1" ht="21" x14ac:dyDescent="0.5">
      <c r="A13" s="16" t="s">
        <v>50</v>
      </c>
      <c r="B13" s="16"/>
      <c r="C13" s="16"/>
      <c r="D13" s="16"/>
      <c r="E13" s="16"/>
    </row>
    <row r="14" spans="1:6" x14ac:dyDescent="0.35">
      <c r="A14" t="s">
        <v>57</v>
      </c>
      <c r="B14" s="9"/>
      <c r="C14" t="s">
        <v>9</v>
      </c>
    </row>
    <row r="15" spans="1:6" x14ac:dyDescent="0.35">
      <c r="A15" t="s">
        <v>55</v>
      </c>
      <c r="B15" s="9">
        <v>2</v>
      </c>
    </row>
    <row r="16" spans="1:6" x14ac:dyDescent="0.35">
      <c r="A16" t="s">
        <v>54</v>
      </c>
      <c r="B16" s="9">
        <v>2</v>
      </c>
    </row>
    <row r="17" spans="1:12" x14ac:dyDescent="0.35">
      <c r="A17" t="s">
        <v>56</v>
      </c>
      <c r="B17" s="18">
        <v>2</v>
      </c>
    </row>
    <row r="19" spans="1:12" s="4" customFormat="1" ht="21" x14ac:dyDescent="0.5">
      <c r="A19" s="32" t="s">
        <v>19</v>
      </c>
      <c r="B19" s="32"/>
      <c r="C19" s="32"/>
      <c r="D19" s="32"/>
      <c r="E19" s="27"/>
    </row>
    <row r="20" spans="1:12" x14ac:dyDescent="0.35">
      <c r="A20" t="s">
        <v>4</v>
      </c>
      <c r="B20" s="18"/>
      <c r="C20" s="18" t="s">
        <v>28</v>
      </c>
    </row>
    <row r="21" spans="1:12" x14ac:dyDescent="0.35">
      <c r="A21" t="s">
        <v>3</v>
      </c>
      <c r="B21" s="18"/>
      <c r="C21" s="18"/>
    </row>
    <row r="22" spans="1:12" x14ac:dyDescent="0.35">
      <c r="A22" t="s">
        <v>30</v>
      </c>
      <c r="B22" s="18"/>
      <c r="C22" s="18"/>
    </row>
    <row r="23" spans="1:12" x14ac:dyDescent="0.35">
      <c r="A23" t="s">
        <v>29</v>
      </c>
      <c r="B23" s="18"/>
      <c r="C23" s="18" t="s">
        <v>5</v>
      </c>
    </row>
    <row r="24" spans="1:12" x14ac:dyDescent="0.35">
      <c r="A24" t="s">
        <v>58</v>
      </c>
      <c r="B24" s="18"/>
      <c r="C24" s="18"/>
    </row>
    <row r="25" spans="1:12" x14ac:dyDescent="0.35">
      <c r="A25" t="s">
        <v>48</v>
      </c>
      <c r="B25" s="18"/>
    </row>
    <row r="26" spans="1:12" x14ac:dyDescent="0.35">
      <c r="A26" t="s">
        <v>49</v>
      </c>
      <c r="B26" s="18"/>
    </row>
    <row r="27" spans="1:12" x14ac:dyDescent="0.35">
      <c r="A27" t="s">
        <v>51</v>
      </c>
    </row>
    <row r="28" spans="1:12" x14ac:dyDescent="0.35">
      <c r="A28" t="s">
        <v>52</v>
      </c>
      <c r="C28" s="9" t="s">
        <v>59</v>
      </c>
    </row>
    <row r="29" spans="1:12" x14ac:dyDescent="0.35">
      <c r="A29" t="s">
        <v>53</v>
      </c>
      <c r="C29" s="9" t="s">
        <v>59</v>
      </c>
    </row>
    <row r="31" spans="1:12" s="8" customFormat="1" ht="21" x14ac:dyDescent="0.5">
      <c r="A31" s="33" t="s">
        <v>8</v>
      </c>
      <c r="B31" s="33"/>
      <c r="C31" s="33"/>
      <c r="D31" s="33"/>
      <c r="E31" s="33"/>
      <c r="F31" s="33"/>
      <c r="G31" s="33"/>
      <c r="H31" s="33"/>
      <c r="I31" s="33"/>
      <c r="J31" s="33"/>
      <c r="K31" s="33"/>
    </row>
    <row r="32" spans="1:12" ht="29" x14ac:dyDescent="0.35">
      <c r="A32" s="7"/>
      <c r="B32" s="7" t="s">
        <v>1</v>
      </c>
      <c r="C32" s="10" t="s">
        <v>10</v>
      </c>
      <c r="D32" s="12" t="s">
        <v>11</v>
      </c>
      <c r="E32" s="12" t="s">
        <v>27</v>
      </c>
      <c r="F32" s="12" t="s">
        <v>12</v>
      </c>
      <c r="G32" s="12" t="s">
        <v>13</v>
      </c>
      <c r="H32" s="14" t="s">
        <v>14</v>
      </c>
      <c r="I32" s="14" t="s">
        <v>15</v>
      </c>
      <c r="J32" s="14" t="s">
        <v>16</v>
      </c>
      <c r="K32" s="14" t="s">
        <v>17</v>
      </c>
      <c r="L32" s="1"/>
    </row>
    <row r="33" spans="1:11" x14ac:dyDescent="0.35">
      <c r="A33" s="7" t="s">
        <v>2</v>
      </c>
      <c r="B33" s="11"/>
      <c r="C33" s="11"/>
      <c r="D33" s="13" t="s">
        <v>44</v>
      </c>
      <c r="E33" s="13" t="s">
        <v>45</v>
      </c>
      <c r="F33" s="13" t="s">
        <v>47</v>
      </c>
      <c r="G33" s="13" t="s">
        <v>43</v>
      </c>
      <c r="H33" s="15" t="s">
        <v>46</v>
      </c>
      <c r="I33" s="15"/>
      <c r="J33" s="15"/>
      <c r="K33" s="15"/>
    </row>
    <row r="34" spans="1:11" x14ac:dyDescent="0.35">
      <c r="A34" s="5"/>
      <c r="B34" s="5"/>
      <c r="C34" s="5"/>
      <c r="D34" s="6"/>
      <c r="E34" s="6"/>
      <c r="F34" s="6"/>
      <c r="G34" s="6"/>
      <c r="H34" s="6"/>
      <c r="I34" s="6"/>
      <c r="J34" s="6"/>
      <c r="K34" s="6"/>
    </row>
    <row r="35" spans="1:11" x14ac:dyDescent="0.35">
      <c r="A35" s="5"/>
      <c r="B35" s="5"/>
      <c r="C35" s="5"/>
      <c r="D35" s="6"/>
      <c r="E35" s="6"/>
      <c r="F35" s="6"/>
      <c r="G35" s="6"/>
      <c r="H35" s="6"/>
      <c r="I35" s="6"/>
      <c r="J35" s="6"/>
      <c r="K35" s="6"/>
    </row>
    <row r="36" spans="1:11" x14ac:dyDescent="0.35">
      <c r="A36" s="5"/>
      <c r="B36" s="5"/>
      <c r="C36" s="5"/>
      <c r="D36" s="6"/>
      <c r="E36" s="6"/>
      <c r="F36" s="6"/>
      <c r="G36" s="6"/>
      <c r="H36" s="6"/>
      <c r="I36" s="6"/>
      <c r="J36" s="6"/>
      <c r="K36" s="6"/>
    </row>
    <row r="37" spans="1:11" x14ac:dyDescent="0.35">
      <c r="A37" s="5"/>
      <c r="B37" s="5"/>
      <c r="C37" s="5"/>
      <c r="D37" s="6"/>
      <c r="E37" s="6"/>
      <c r="F37" s="6"/>
      <c r="G37" s="6"/>
      <c r="H37" s="6"/>
      <c r="I37" s="6"/>
      <c r="J37" s="6"/>
      <c r="K37" s="6"/>
    </row>
    <row r="38" spans="1:11" x14ac:dyDescent="0.35">
      <c r="A38" s="5"/>
      <c r="B38" s="5"/>
      <c r="C38" s="5"/>
      <c r="D38" s="6"/>
      <c r="E38" s="6"/>
      <c r="F38" s="6"/>
      <c r="G38" s="6"/>
      <c r="H38" s="6"/>
      <c r="I38" s="6"/>
      <c r="J38" s="6"/>
      <c r="K38" s="6"/>
    </row>
    <row r="39" spans="1:11" x14ac:dyDescent="0.35">
      <c r="A39" s="5"/>
      <c r="B39" s="5"/>
      <c r="C39" s="5"/>
      <c r="D39" s="6"/>
      <c r="E39" s="6"/>
      <c r="F39" s="6"/>
      <c r="G39" s="6"/>
      <c r="H39" s="6"/>
      <c r="I39" s="6"/>
      <c r="J39" s="6"/>
      <c r="K39" s="6"/>
    </row>
    <row r="40" spans="1:11" x14ac:dyDescent="0.35">
      <c r="A40" s="5"/>
      <c r="B40" s="5"/>
      <c r="C40" s="5"/>
      <c r="D40" s="6"/>
      <c r="E40" s="6"/>
      <c r="F40" s="6"/>
      <c r="G40" s="6"/>
      <c r="H40" s="6"/>
      <c r="I40" s="6"/>
      <c r="J40" s="6"/>
      <c r="K40" s="6"/>
    </row>
    <row r="41" spans="1:11" x14ac:dyDescent="0.35">
      <c r="A41" s="5"/>
      <c r="B41" s="5"/>
      <c r="C41" s="5"/>
      <c r="D41" s="6"/>
      <c r="E41" s="6"/>
      <c r="F41" s="6"/>
      <c r="G41" s="6"/>
      <c r="H41" s="6"/>
      <c r="I41" s="6"/>
      <c r="J41" s="6"/>
      <c r="K41" s="6"/>
    </row>
    <row r="42" spans="1:11" x14ac:dyDescent="0.35">
      <c r="A42" s="5"/>
      <c r="B42" s="5"/>
      <c r="C42" s="5"/>
      <c r="D42" s="6"/>
      <c r="E42" s="6"/>
      <c r="F42" s="6"/>
      <c r="G42" s="6"/>
      <c r="H42" s="6"/>
      <c r="I42" s="6"/>
      <c r="J42" s="6"/>
      <c r="K42" s="6"/>
    </row>
    <row r="43" spans="1:11" x14ac:dyDescent="0.35">
      <c r="A43" s="5"/>
      <c r="B43" s="5"/>
      <c r="C43" s="5"/>
      <c r="D43" s="6"/>
      <c r="E43" s="6"/>
      <c r="F43" s="6"/>
      <c r="G43" s="6"/>
      <c r="H43" s="6"/>
      <c r="I43" s="6"/>
      <c r="J43" s="6"/>
      <c r="K43" s="6"/>
    </row>
    <row r="44" spans="1:11" x14ac:dyDescent="0.35">
      <c r="A44" s="5"/>
      <c r="B44" s="5"/>
      <c r="C44" s="5"/>
      <c r="D44" s="6"/>
      <c r="E44" s="6"/>
      <c r="F44" s="6"/>
      <c r="G44" s="6"/>
      <c r="H44" s="6"/>
      <c r="I44" s="6"/>
      <c r="J44" s="6"/>
      <c r="K44" s="6"/>
    </row>
    <row r="45" spans="1:11" x14ac:dyDescent="0.35">
      <c r="A45" s="5"/>
      <c r="B45" s="5"/>
      <c r="C45" s="5"/>
      <c r="D45" s="6"/>
      <c r="E45" s="6"/>
      <c r="F45" s="6"/>
      <c r="G45" s="6"/>
      <c r="H45" s="6"/>
      <c r="I45" s="6"/>
      <c r="J45" s="6"/>
      <c r="K45" s="6"/>
    </row>
    <row r="46" spans="1:11" x14ac:dyDescent="0.35">
      <c r="A46" s="5"/>
      <c r="B46" s="5"/>
      <c r="C46" s="5"/>
      <c r="D46" s="6"/>
      <c r="E46" s="6"/>
      <c r="F46" s="6"/>
      <c r="G46" s="6"/>
      <c r="H46" s="6"/>
      <c r="I46" s="6"/>
      <c r="J46" s="6"/>
      <c r="K46" s="6"/>
    </row>
    <row r="47" spans="1:11" x14ac:dyDescent="0.35">
      <c r="A47" s="5"/>
      <c r="B47" s="5"/>
      <c r="C47" s="5"/>
      <c r="D47" s="6"/>
      <c r="E47" s="6"/>
      <c r="F47" s="6"/>
      <c r="G47" s="6"/>
      <c r="H47" s="6"/>
      <c r="I47" s="6"/>
      <c r="J47" s="6"/>
      <c r="K47" s="6"/>
    </row>
    <row r="48" spans="1:11" x14ac:dyDescent="0.35">
      <c r="A48" s="5"/>
      <c r="B48" s="5"/>
      <c r="C48" s="5"/>
      <c r="D48" s="6"/>
      <c r="E48" s="6"/>
      <c r="F48" s="6"/>
      <c r="G48" s="6"/>
      <c r="H48" s="6"/>
      <c r="I48" s="6"/>
      <c r="J48" s="6"/>
      <c r="K48" s="6"/>
    </row>
  </sheetData>
  <mergeCells count="3">
    <mergeCell ref="A3:D3"/>
    <mergeCell ref="A19:D19"/>
    <mergeCell ref="A31:K31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25A6E-9C18-43E7-B23B-5A8A110E8F92}">
  <dimension ref="A1:L48"/>
  <sheetViews>
    <sheetView zoomScale="150" zoomScaleNormal="150" workbookViewId="0">
      <selection activeCell="E27" sqref="E27"/>
    </sheetView>
  </sheetViews>
  <sheetFormatPr defaultRowHeight="14.5" x14ac:dyDescent="0.35"/>
  <cols>
    <col min="1" max="1" width="36" bestFit="1" customWidth="1"/>
    <col min="2" max="2" width="16" customWidth="1"/>
    <col min="3" max="3" width="15.453125" customWidth="1"/>
    <col min="4" max="5" width="15.81640625" customWidth="1"/>
    <col min="6" max="7" width="12.36328125" bestFit="1" customWidth="1"/>
    <col min="8" max="8" width="11.54296875" bestFit="1" customWidth="1"/>
    <col min="9" max="11" width="9.81640625" bestFit="1" customWidth="1"/>
  </cols>
  <sheetData>
    <row r="1" spans="1:6" s="25" customFormat="1" ht="26" x14ac:dyDescent="0.6">
      <c r="A1" s="25" t="s">
        <v>26</v>
      </c>
    </row>
    <row r="3" spans="1:6" s="2" customFormat="1" ht="21" x14ac:dyDescent="0.5">
      <c r="A3" s="31" t="s">
        <v>18</v>
      </c>
      <c r="B3" s="31"/>
      <c r="C3" s="31"/>
      <c r="D3" s="31"/>
      <c r="E3" s="26"/>
    </row>
    <row r="4" spans="1:6" s="2" customFormat="1" x14ac:dyDescent="0.35">
      <c r="A4" s="17" t="s">
        <v>22</v>
      </c>
      <c r="B4" s="17"/>
      <c r="C4" s="17"/>
      <c r="D4" s="17"/>
      <c r="E4" s="17"/>
      <c r="F4" s="17"/>
    </row>
    <row r="5" spans="1:6" x14ac:dyDescent="0.35">
      <c r="A5" t="s">
        <v>38</v>
      </c>
      <c r="B5" s="18">
        <v>1500</v>
      </c>
      <c r="C5" s="18"/>
      <c r="D5" s="18"/>
      <c r="E5" s="18"/>
      <c r="F5" s="18"/>
    </row>
    <row r="6" spans="1:6" x14ac:dyDescent="0.35">
      <c r="A6" t="s">
        <v>41</v>
      </c>
      <c r="B6" s="18" cm="1">
        <f t="array" ref="B6">_xlfn.XLOOKUP(B$5,STDATM!$A$3:$A$153,STDATM!$D$3:$D$153,NA,0,1)</f>
        <v>1.0580700000000001</v>
      </c>
      <c r="C6" s="18"/>
      <c r="D6" s="18"/>
      <c r="E6" s="18"/>
      <c r="F6" s="18"/>
    </row>
    <row r="7" spans="1:6" x14ac:dyDescent="0.35">
      <c r="A7" t="s">
        <v>39</v>
      </c>
      <c r="B7" s="18" cm="1">
        <f t="array" ref="B7">_xlfn.XLOOKUP(B$5,STDATM!$A$3:$A$153,STDATM!$F$3:$F$153,NA,0,1)</f>
        <v>1.7629799999999998E-5</v>
      </c>
      <c r="C7" s="18"/>
      <c r="D7" s="18"/>
      <c r="E7" s="18"/>
    </row>
    <row r="8" spans="1:6" x14ac:dyDescent="0.35">
      <c r="A8" t="s">
        <v>40</v>
      </c>
      <c r="B8" s="18" cm="1">
        <f t="array" ref="B8">_xlfn.XLOOKUP(B$5,STDATM!$A$3:$A$153,STDATM!$E$3:$E$153,NA,0,1)</f>
        <v>334.48700000000002</v>
      </c>
      <c r="C8" s="18"/>
      <c r="D8" s="18"/>
      <c r="E8" s="18"/>
    </row>
    <row r="9" spans="1:6" x14ac:dyDescent="0.35">
      <c r="A9" s="28" t="s">
        <v>42</v>
      </c>
      <c r="B9" s="29">
        <v>10</v>
      </c>
      <c r="C9" s="19"/>
      <c r="D9" s="19"/>
      <c r="E9" s="19"/>
    </row>
    <row r="10" spans="1:6" x14ac:dyDescent="0.35">
      <c r="A10" s="28" t="s">
        <v>0</v>
      </c>
      <c r="B10" s="20"/>
      <c r="C10" s="20"/>
      <c r="D10" s="20"/>
      <c r="E10" s="20"/>
    </row>
    <row r="11" spans="1:6" x14ac:dyDescent="0.35">
      <c r="A11" t="s">
        <v>20</v>
      </c>
      <c r="B11" s="21" t="s">
        <v>21</v>
      </c>
      <c r="C11" s="21"/>
      <c r="D11" s="21"/>
      <c r="E11" s="21"/>
    </row>
    <row r="13" spans="1:6" s="3" customFormat="1" ht="21" x14ac:dyDescent="0.5">
      <c r="A13" s="16" t="s">
        <v>50</v>
      </c>
      <c r="B13" s="16"/>
      <c r="C13" s="16"/>
      <c r="D13" s="16"/>
      <c r="E13" s="16"/>
    </row>
    <row r="14" spans="1:6" x14ac:dyDescent="0.35">
      <c r="A14" t="s">
        <v>57</v>
      </c>
      <c r="B14" s="9"/>
      <c r="C14" t="s">
        <v>9</v>
      </c>
    </row>
    <row r="15" spans="1:6" x14ac:dyDescent="0.35">
      <c r="A15" t="s">
        <v>55</v>
      </c>
      <c r="B15" s="9"/>
    </row>
    <row r="16" spans="1:6" x14ac:dyDescent="0.35">
      <c r="A16" t="s">
        <v>54</v>
      </c>
      <c r="B16" s="9"/>
    </row>
    <row r="17" spans="1:12" x14ac:dyDescent="0.35">
      <c r="A17" t="s">
        <v>56</v>
      </c>
      <c r="B17" s="18"/>
    </row>
    <row r="19" spans="1:12" s="4" customFormat="1" ht="21" x14ac:dyDescent="0.5">
      <c r="A19" s="32" t="s">
        <v>19</v>
      </c>
      <c r="B19" s="32"/>
      <c r="C19" s="32"/>
      <c r="D19" s="32"/>
      <c r="E19" s="27"/>
    </row>
    <row r="20" spans="1:12" x14ac:dyDescent="0.35">
      <c r="A20" t="s">
        <v>4</v>
      </c>
      <c r="B20" s="18"/>
      <c r="C20" s="18" t="s">
        <v>28</v>
      </c>
    </row>
    <row r="21" spans="1:12" x14ac:dyDescent="0.35">
      <c r="A21" t="s">
        <v>3</v>
      </c>
      <c r="B21" s="18"/>
      <c r="C21" s="18"/>
    </row>
    <row r="22" spans="1:12" x14ac:dyDescent="0.35">
      <c r="A22" t="s">
        <v>30</v>
      </c>
      <c r="B22" s="18"/>
      <c r="C22" s="18"/>
    </row>
    <row r="23" spans="1:12" x14ac:dyDescent="0.35">
      <c r="A23" t="s">
        <v>29</v>
      </c>
      <c r="B23" s="18"/>
      <c r="C23" s="18" t="s">
        <v>5</v>
      </c>
    </row>
    <row r="24" spans="1:12" x14ac:dyDescent="0.35">
      <c r="A24" t="s">
        <v>58</v>
      </c>
      <c r="B24" s="18"/>
      <c r="C24" s="18"/>
    </row>
    <row r="25" spans="1:12" x14ac:dyDescent="0.35">
      <c r="A25" t="s">
        <v>48</v>
      </c>
      <c r="B25" s="18"/>
    </row>
    <row r="26" spans="1:12" x14ac:dyDescent="0.35">
      <c r="A26" t="s">
        <v>49</v>
      </c>
      <c r="B26" s="18"/>
    </row>
    <row r="27" spans="1:12" x14ac:dyDescent="0.35">
      <c r="A27" t="s">
        <v>51</v>
      </c>
    </row>
    <row r="28" spans="1:12" x14ac:dyDescent="0.35">
      <c r="A28" t="s">
        <v>52</v>
      </c>
      <c r="C28" s="9" t="s">
        <v>59</v>
      </c>
    </row>
    <row r="29" spans="1:12" x14ac:dyDescent="0.35">
      <c r="A29" t="s">
        <v>53</v>
      </c>
      <c r="C29" s="9" t="s">
        <v>59</v>
      </c>
    </row>
    <row r="31" spans="1:12" s="8" customFormat="1" ht="21" x14ac:dyDescent="0.5">
      <c r="A31" s="33" t="s">
        <v>8</v>
      </c>
      <c r="B31" s="33"/>
      <c r="C31" s="33"/>
      <c r="D31" s="33"/>
      <c r="E31" s="33"/>
      <c r="F31" s="33"/>
      <c r="G31" s="33"/>
      <c r="H31" s="33"/>
      <c r="I31" s="33"/>
      <c r="J31" s="33"/>
      <c r="K31" s="33"/>
    </row>
    <row r="32" spans="1:12" ht="29" x14ac:dyDescent="0.35">
      <c r="A32" s="7"/>
      <c r="B32" s="7" t="s">
        <v>1</v>
      </c>
      <c r="C32" s="10" t="s">
        <v>10</v>
      </c>
      <c r="D32" s="12" t="s">
        <v>11</v>
      </c>
      <c r="E32" s="12" t="s">
        <v>27</v>
      </c>
      <c r="F32" s="12" t="s">
        <v>12</v>
      </c>
      <c r="G32" s="12" t="s">
        <v>13</v>
      </c>
      <c r="H32" s="14" t="s">
        <v>14</v>
      </c>
      <c r="I32" s="14" t="s">
        <v>15</v>
      </c>
      <c r="J32" s="14" t="s">
        <v>16</v>
      </c>
      <c r="K32" s="14" t="s">
        <v>17</v>
      </c>
      <c r="L32" s="1"/>
    </row>
    <row r="33" spans="1:11" x14ac:dyDescent="0.35">
      <c r="A33" s="7" t="s">
        <v>2</v>
      </c>
      <c r="B33" s="11"/>
      <c r="C33" s="11"/>
      <c r="D33" s="13" t="s">
        <v>44</v>
      </c>
      <c r="E33" s="13" t="s">
        <v>45</v>
      </c>
      <c r="F33" s="13" t="s">
        <v>47</v>
      </c>
      <c r="G33" s="13" t="s">
        <v>43</v>
      </c>
      <c r="H33" s="15" t="s">
        <v>46</v>
      </c>
      <c r="I33" s="15"/>
      <c r="J33" s="15"/>
      <c r="K33" s="15"/>
    </row>
    <row r="34" spans="1:11" x14ac:dyDescent="0.35">
      <c r="A34" s="5"/>
      <c r="B34" s="5"/>
      <c r="C34" s="5"/>
      <c r="D34" s="6"/>
      <c r="E34" s="6"/>
      <c r="F34" s="6"/>
      <c r="G34" s="6"/>
      <c r="H34" s="6"/>
      <c r="I34" s="6"/>
      <c r="J34" s="6"/>
      <c r="K34" s="6"/>
    </row>
    <row r="35" spans="1:11" x14ac:dyDescent="0.35">
      <c r="A35" s="5"/>
      <c r="B35" s="5"/>
      <c r="C35" s="5"/>
      <c r="D35" s="6"/>
      <c r="E35" s="6"/>
      <c r="F35" s="6"/>
      <c r="G35" s="6"/>
      <c r="H35" s="6"/>
      <c r="I35" s="6"/>
      <c r="J35" s="6"/>
      <c r="K35" s="6"/>
    </row>
    <row r="36" spans="1:11" x14ac:dyDescent="0.35">
      <c r="A36" s="5"/>
      <c r="B36" s="5"/>
      <c r="C36" s="5"/>
      <c r="D36" s="6"/>
      <c r="E36" s="6"/>
      <c r="F36" s="6"/>
      <c r="G36" s="6"/>
      <c r="H36" s="6"/>
      <c r="I36" s="6"/>
      <c r="J36" s="6"/>
      <c r="K36" s="6"/>
    </row>
    <row r="37" spans="1:11" x14ac:dyDescent="0.35">
      <c r="A37" s="5"/>
      <c r="B37" s="5"/>
      <c r="C37" s="5"/>
      <c r="D37" s="6"/>
      <c r="E37" s="6"/>
      <c r="F37" s="6"/>
      <c r="G37" s="6"/>
      <c r="H37" s="6"/>
      <c r="I37" s="6"/>
      <c r="J37" s="6"/>
      <c r="K37" s="6"/>
    </row>
    <row r="38" spans="1:11" x14ac:dyDescent="0.35">
      <c r="A38" s="5"/>
      <c r="B38" s="5"/>
      <c r="C38" s="5"/>
      <c r="D38" s="6"/>
      <c r="E38" s="6"/>
      <c r="F38" s="6"/>
      <c r="G38" s="6"/>
      <c r="H38" s="6"/>
      <c r="I38" s="6"/>
      <c r="J38" s="6"/>
      <c r="K38" s="6"/>
    </row>
    <row r="39" spans="1:11" x14ac:dyDescent="0.35">
      <c r="A39" s="5"/>
      <c r="B39" s="5"/>
      <c r="C39" s="5"/>
      <c r="D39" s="6"/>
      <c r="E39" s="6"/>
      <c r="F39" s="6"/>
      <c r="G39" s="6"/>
      <c r="H39" s="6"/>
      <c r="I39" s="6"/>
      <c r="J39" s="6"/>
      <c r="K39" s="6"/>
    </row>
    <row r="40" spans="1:11" x14ac:dyDescent="0.35">
      <c r="A40" s="5"/>
      <c r="B40" s="5"/>
      <c r="C40" s="5"/>
      <c r="D40" s="6"/>
      <c r="E40" s="6"/>
      <c r="F40" s="6"/>
      <c r="G40" s="6"/>
      <c r="H40" s="6"/>
      <c r="I40" s="6"/>
      <c r="J40" s="6"/>
      <c r="K40" s="6"/>
    </row>
    <row r="41" spans="1:11" x14ac:dyDescent="0.35">
      <c r="A41" s="5"/>
      <c r="B41" s="5"/>
      <c r="C41" s="5"/>
      <c r="D41" s="6"/>
      <c r="E41" s="6"/>
      <c r="F41" s="6"/>
      <c r="G41" s="6"/>
      <c r="H41" s="6"/>
      <c r="I41" s="6"/>
      <c r="J41" s="6"/>
      <c r="K41" s="6"/>
    </row>
    <row r="42" spans="1:11" x14ac:dyDescent="0.35">
      <c r="A42" s="5"/>
      <c r="B42" s="5"/>
      <c r="C42" s="5"/>
      <c r="D42" s="6"/>
      <c r="E42" s="6"/>
      <c r="F42" s="6"/>
      <c r="G42" s="6"/>
      <c r="H42" s="6"/>
      <c r="I42" s="6"/>
      <c r="J42" s="6"/>
      <c r="K42" s="6"/>
    </row>
    <row r="43" spans="1:11" x14ac:dyDescent="0.35">
      <c r="A43" s="5"/>
      <c r="B43" s="5"/>
      <c r="C43" s="5"/>
      <c r="D43" s="6"/>
      <c r="E43" s="6"/>
      <c r="F43" s="6"/>
      <c r="G43" s="6"/>
      <c r="H43" s="6"/>
      <c r="I43" s="6"/>
      <c r="J43" s="6"/>
      <c r="K43" s="6"/>
    </row>
    <row r="44" spans="1:11" x14ac:dyDescent="0.35">
      <c r="A44" s="5"/>
      <c r="B44" s="5"/>
      <c r="C44" s="5"/>
      <c r="D44" s="6"/>
      <c r="E44" s="6"/>
      <c r="F44" s="6"/>
      <c r="G44" s="6"/>
      <c r="H44" s="6"/>
      <c r="I44" s="6"/>
      <c r="J44" s="6"/>
      <c r="K44" s="6"/>
    </row>
    <row r="45" spans="1:11" x14ac:dyDescent="0.35">
      <c r="A45" s="5"/>
      <c r="B45" s="5"/>
      <c r="C45" s="5"/>
      <c r="D45" s="6"/>
      <c r="E45" s="6"/>
      <c r="F45" s="6"/>
      <c r="G45" s="6"/>
      <c r="H45" s="6"/>
      <c r="I45" s="6"/>
      <c r="J45" s="6"/>
      <c r="K45" s="6"/>
    </row>
    <row r="46" spans="1:11" x14ac:dyDescent="0.35">
      <c r="A46" s="5"/>
      <c r="B46" s="5"/>
      <c r="C46" s="5"/>
      <c r="D46" s="6"/>
      <c r="E46" s="6"/>
      <c r="F46" s="6"/>
      <c r="G46" s="6"/>
      <c r="H46" s="6"/>
      <c r="I46" s="6"/>
      <c r="J46" s="6"/>
      <c r="K46" s="6"/>
    </row>
    <row r="47" spans="1:11" x14ac:dyDescent="0.35">
      <c r="A47" s="5"/>
      <c r="B47" s="5"/>
      <c r="C47" s="5"/>
      <c r="D47" s="6"/>
      <c r="E47" s="6"/>
      <c r="F47" s="6"/>
      <c r="G47" s="6"/>
      <c r="H47" s="6"/>
      <c r="I47" s="6"/>
      <c r="J47" s="6"/>
      <c r="K47" s="6"/>
    </row>
    <row r="48" spans="1:11" x14ac:dyDescent="0.35">
      <c r="A48" s="5"/>
      <c r="B48" s="5"/>
      <c r="C48" s="5"/>
      <c r="D48" s="6"/>
      <c r="E48" s="6"/>
      <c r="F48" s="6"/>
      <c r="G48" s="6"/>
      <c r="H48" s="6"/>
      <c r="I48" s="6"/>
      <c r="J48" s="6"/>
      <c r="K48" s="6"/>
    </row>
  </sheetData>
  <mergeCells count="3">
    <mergeCell ref="A3:D3"/>
    <mergeCell ref="A19:D19"/>
    <mergeCell ref="A31:K31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89D3D-BA51-410D-AF45-E376B88ACCD9}">
  <dimension ref="A1:F203"/>
  <sheetViews>
    <sheetView topLeftCell="A146" workbookViewId="0">
      <selection activeCell="I10" sqref="I10"/>
    </sheetView>
  </sheetViews>
  <sheetFormatPr defaultRowHeight="14.5" x14ac:dyDescent="0.35"/>
  <cols>
    <col min="1" max="1" width="7.90625" bestFit="1" customWidth="1"/>
    <col min="2" max="2" width="11.6328125" customWidth="1"/>
    <col min="3" max="3" width="8.54296875" bestFit="1" customWidth="1"/>
  </cols>
  <sheetData>
    <row r="1" spans="1:6" ht="29" x14ac:dyDescent="0.35">
      <c r="A1" s="22" t="s">
        <v>6</v>
      </c>
      <c r="B1" s="22" t="s">
        <v>23</v>
      </c>
      <c r="C1" s="22" t="s">
        <v>24</v>
      </c>
      <c r="D1" s="22" t="s">
        <v>7</v>
      </c>
      <c r="E1" s="22" t="s">
        <v>25</v>
      </c>
      <c r="F1" s="22" t="s">
        <v>36</v>
      </c>
    </row>
    <row r="2" spans="1:6" ht="29" x14ac:dyDescent="0.35">
      <c r="A2" s="22" t="s">
        <v>31</v>
      </c>
      <c r="B2" s="22" t="s">
        <v>32</v>
      </c>
      <c r="C2" s="22" t="s">
        <v>33</v>
      </c>
      <c r="D2" s="22" t="s">
        <v>34</v>
      </c>
      <c r="E2" s="22" t="s">
        <v>35</v>
      </c>
      <c r="F2" s="22" t="s">
        <v>37</v>
      </c>
    </row>
    <row r="3" spans="1:6" x14ac:dyDescent="0.35">
      <c r="A3" s="23">
        <v>0</v>
      </c>
      <c r="B3" s="23">
        <v>15</v>
      </c>
      <c r="C3" s="23">
        <v>101325</v>
      </c>
      <c r="D3" s="23">
        <v>1.2250000000000001</v>
      </c>
      <c r="E3" s="23">
        <v>340.29399999999998</v>
      </c>
      <c r="F3" s="23">
        <v>1.8120600000000001E-5</v>
      </c>
    </row>
    <row r="4" spans="1:6" x14ac:dyDescent="0.35">
      <c r="A4" s="23">
        <v>100</v>
      </c>
      <c r="B4" s="23">
        <v>14.35</v>
      </c>
      <c r="C4" s="23">
        <v>100129</v>
      </c>
      <c r="D4" s="23">
        <v>1.2132799999999999</v>
      </c>
      <c r="E4" s="23">
        <v>339.91</v>
      </c>
      <c r="F4" s="23">
        <v>1.8088100000000001E-5</v>
      </c>
    </row>
    <row r="5" spans="1:6" x14ac:dyDescent="0.35">
      <c r="A5" s="23">
        <v>200</v>
      </c>
      <c r="B5" s="23">
        <v>13.7</v>
      </c>
      <c r="C5" s="23">
        <v>98945.3</v>
      </c>
      <c r="D5" s="23">
        <v>1.2016500000000001</v>
      </c>
      <c r="E5" s="23">
        <v>339.52600000000001</v>
      </c>
      <c r="F5" s="23">
        <v>1.80556E-5</v>
      </c>
    </row>
    <row r="6" spans="1:6" x14ac:dyDescent="0.35">
      <c r="A6" s="23">
        <v>300</v>
      </c>
      <c r="B6" s="23">
        <v>13.05</v>
      </c>
      <c r="C6" s="23">
        <v>97772.6</v>
      </c>
      <c r="D6" s="23">
        <v>1.19011</v>
      </c>
      <c r="E6" s="23">
        <v>339.14100000000002</v>
      </c>
      <c r="F6" s="23">
        <v>1.8023E-5</v>
      </c>
    </row>
    <row r="7" spans="1:6" x14ac:dyDescent="0.35">
      <c r="A7" s="23">
        <v>400</v>
      </c>
      <c r="B7" s="23">
        <v>12.4</v>
      </c>
      <c r="C7" s="23">
        <v>96611.1</v>
      </c>
      <c r="D7" s="23">
        <v>1.1786399999999999</v>
      </c>
      <c r="E7" s="23">
        <v>338.755</v>
      </c>
      <c r="F7" s="23">
        <v>1.79905E-5</v>
      </c>
    </row>
    <row r="8" spans="1:6" x14ac:dyDescent="0.35">
      <c r="A8" s="23">
        <v>500</v>
      </c>
      <c r="B8" s="23">
        <v>11.75</v>
      </c>
      <c r="C8" s="23">
        <v>95460.800000000003</v>
      </c>
      <c r="D8" s="23">
        <v>1.16727</v>
      </c>
      <c r="E8" s="23">
        <v>338.37</v>
      </c>
      <c r="F8" s="23">
        <v>1.79579E-5</v>
      </c>
    </row>
    <row r="9" spans="1:6" x14ac:dyDescent="0.35">
      <c r="A9" s="23">
        <v>600</v>
      </c>
      <c r="B9" s="23">
        <v>11.1</v>
      </c>
      <c r="C9" s="23">
        <v>94321.7</v>
      </c>
      <c r="D9" s="23">
        <v>1.15598</v>
      </c>
      <c r="E9" s="23">
        <v>337.983</v>
      </c>
      <c r="F9" s="23">
        <v>1.7925199999999999E-5</v>
      </c>
    </row>
    <row r="10" spans="1:6" x14ac:dyDescent="0.35">
      <c r="A10" s="23">
        <v>700</v>
      </c>
      <c r="B10" s="23">
        <v>10.45</v>
      </c>
      <c r="C10" s="23">
        <v>93193.600000000006</v>
      </c>
      <c r="D10" s="23">
        <v>1.1447700000000001</v>
      </c>
      <c r="E10" s="23">
        <v>337.59699999999998</v>
      </c>
      <c r="F10" s="23">
        <v>1.7892499999999999E-5</v>
      </c>
    </row>
    <row r="11" spans="1:6" x14ac:dyDescent="0.35">
      <c r="A11" s="23">
        <v>800</v>
      </c>
      <c r="B11" s="23">
        <v>9.8000000000000007</v>
      </c>
      <c r="C11" s="23">
        <v>92076.4</v>
      </c>
      <c r="D11" s="23">
        <v>1.13364</v>
      </c>
      <c r="E11" s="23">
        <v>337.21</v>
      </c>
      <c r="F11" s="23">
        <v>1.7859800000000001E-5</v>
      </c>
    </row>
    <row r="12" spans="1:6" x14ac:dyDescent="0.35">
      <c r="A12" s="23">
        <v>900</v>
      </c>
      <c r="B12" s="23">
        <v>9.15</v>
      </c>
      <c r="C12" s="23">
        <v>90970.1</v>
      </c>
      <c r="D12" s="23">
        <v>1.1226</v>
      </c>
      <c r="E12" s="23">
        <v>336.822</v>
      </c>
      <c r="F12" s="23">
        <v>1.7827100000000001E-5</v>
      </c>
    </row>
    <row r="13" spans="1:6" x14ac:dyDescent="0.35">
      <c r="A13" s="23">
        <v>1000</v>
      </c>
      <c r="B13" s="23">
        <v>8.5</v>
      </c>
      <c r="C13" s="23">
        <v>89874.6</v>
      </c>
      <c r="D13" s="23">
        <v>1.11164</v>
      </c>
      <c r="E13" s="23">
        <v>336.43400000000003</v>
      </c>
      <c r="F13" s="23">
        <v>1.77943E-5</v>
      </c>
    </row>
    <row r="14" spans="1:6" x14ac:dyDescent="0.35">
      <c r="A14" s="23">
        <v>1100</v>
      </c>
      <c r="B14" s="23">
        <v>7.85</v>
      </c>
      <c r="C14" s="23">
        <v>88789.8</v>
      </c>
      <c r="D14" s="23">
        <v>1.10077</v>
      </c>
      <c r="E14" s="23">
        <v>336.04599999999999</v>
      </c>
      <c r="F14" s="23">
        <v>1.7761499999999999E-5</v>
      </c>
    </row>
    <row r="15" spans="1:6" x14ac:dyDescent="0.35">
      <c r="A15" s="23">
        <v>1200</v>
      </c>
      <c r="B15" s="23">
        <v>7.2</v>
      </c>
      <c r="C15" s="23">
        <v>87715.6</v>
      </c>
      <c r="D15" s="23">
        <v>1.0899700000000001</v>
      </c>
      <c r="E15" s="23">
        <v>335.65699999999998</v>
      </c>
      <c r="F15" s="23">
        <v>1.7728600000000002E-5</v>
      </c>
    </row>
    <row r="16" spans="1:6" x14ac:dyDescent="0.35">
      <c r="A16" s="23">
        <v>1300</v>
      </c>
      <c r="B16" s="23">
        <v>6.55</v>
      </c>
      <c r="C16" s="23">
        <v>86651.9</v>
      </c>
      <c r="D16" s="23">
        <v>1.07925</v>
      </c>
      <c r="E16" s="23">
        <v>335.267</v>
      </c>
      <c r="F16" s="23">
        <v>1.7695700000000001E-5</v>
      </c>
    </row>
    <row r="17" spans="1:6" x14ac:dyDescent="0.35">
      <c r="A17" s="23">
        <v>1400</v>
      </c>
      <c r="B17" s="23">
        <v>5.9</v>
      </c>
      <c r="C17" s="23">
        <v>85598.8</v>
      </c>
      <c r="D17" s="23">
        <v>1.0686199999999999</v>
      </c>
      <c r="E17" s="23">
        <v>334.87799999999999</v>
      </c>
      <c r="F17" s="23">
        <v>1.76628E-5</v>
      </c>
    </row>
    <row r="18" spans="1:6" x14ac:dyDescent="0.35">
      <c r="A18" s="23">
        <v>1500</v>
      </c>
      <c r="B18" s="23">
        <v>5.25</v>
      </c>
      <c r="C18" s="23">
        <v>84556</v>
      </c>
      <c r="D18" s="23">
        <v>1.0580700000000001</v>
      </c>
      <c r="E18" s="23">
        <v>334.48700000000002</v>
      </c>
      <c r="F18" s="23">
        <v>1.7629799999999998E-5</v>
      </c>
    </row>
    <row r="19" spans="1:6" x14ac:dyDescent="0.35">
      <c r="A19" s="23">
        <v>1600</v>
      </c>
      <c r="B19" s="23">
        <v>4.5999999999999996</v>
      </c>
      <c r="C19" s="23">
        <v>83523.5</v>
      </c>
      <c r="D19" s="23">
        <v>1.04759</v>
      </c>
      <c r="E19" s="23">
        <v>334.09699999999998</v>
      </c>
      <c r="F19" s="23">
        <v>1.7596800000000001E-5</v>
      </c>
    </row>
    <row r="20" spans="1:6" x14ac:dyDescent="0.35">
      <c r="A20" s="23">
        <v>1700</v>
      </c>
      <c r="B20" s="23">
        <v>3.95</v>
      </c>
      <c r="C20" s="23">
        <v>82501.3</v>
      </c>
      <c r="D20" s="23">
        <v>1.0371999999999999</v>
      </c>
      <c r="E20" s="23">
        <v>333.70499999999998</v>
      </c>
      <c r="F20" s="23">
        <v>1.7563799999999999E-5</v>
      </c>
    </row>
    <row r="21" spans="1:6" x14ac:dyDescent="0.35">
      <c r="A21" s="23">
        <v>1800</v>
      </c>
      <c r="B21" s="23">
        <v>3.3</v>
      </c>
      <c r="C21" s="23">
        <v>81489.2</v>
      </c>
      <c r="D21" s="23">
        <v>1.02688</v>
      </c>
      <c r="E21" s="23">
        <v>333.31400000000002</v>
      </c>
      <c r="F21" s="23">
        <v>1.7530700000000001E-5</v>
      </c>
    </row>
    <row r="22" spans="1:6" x14ac:dyDescent="0.35">
      <c r="A22" s="23">
        <v>1900</v>
      </c>
      <c r="B22" s="23">
        <v>2.65</v>
      </c>
      <c r="C22" s="23">
        <v>80487.199999999997</v>
      </c>
      <c r="D22" s="23">
        <v>1.0166500000000001</v>
      </c>
      <c r="E22" s="23">
        <v>332.92200000000003</v>
      </c>
      <c r="F22" s="23">
        <v>1.74976E-5</v>
      </c>
    </row>
    <row r="23" spans="1:6" x14ac:dyDescent="0.35">
      <c r="A23" s="23">
        <v>2000</v>
      </c>
      <c r="B23" s="23">
        <v>2</v>
      </c>
      <c r="C23" s="23">
        <v>79495.199999999997</v>
      </c>
      <c r="D23" s="23">
        <v>1.0064900000000001</v>
      </c>
      <c r="E23" s="23">
        <v>332.529</v>
      </c>
      <c r="F23" s="23">
        <v>1.7464499999999999E-5</v>
      </c>
    </row>
    <row r="24" spans="1:6" x14ac:dyDescent="0.35">
      <c r="A24" s="23">
        <v>2100</v>
      </c>
      <c r="B24" s="23">
        <v>1.35</v>
      </c>
      <c r="C24" s="23">
        <v>78513.100000000006</v>
      </c>
      <c r="D24" s="23">
        <v>0.99641000000000002</v>
      </c>
      <c r="E24" s="23">
        <v>332.13600000000002</v>
      </c>
      <c r="F24" s="23">
        <v>1.74313E-5</v>
      </c>
    </row>
    <row r="25" spans="1:6" x14ac:dyDescent="0.35">
      <c r="A25" s="23">
        <v>2200</v>
      </c>
      <c r="B25" s="23">
        <v>0.7</v>
      </c>
      <c r="C25" s="23">
        <v>77540.899999999994</v>
      </c>
      <c r="D25" s="23">
        <v>0.98640700000000003</v>
      </c>
      <c r="E25" s="23">
        <v>331.74299999999999</v>
      </c>
      <c r="F25" s="23">
        <v>1.7398099999999999E-5</v>
      </c>
    </row>
    <row r="26" spans="1:6" x14ac:dyDescent="0.35">
      <c r="A26" s="23">
        <v>2300</v>
      </c>
      <c r="B26" s="23">
        <v>0.05</v>
      </c>
      <c r="C26" s="23">
        <v>76578.399999999994</v>
      </c>
      <c r="D26" s="23">
        <v>0.97648100000000004</v>
      </c>
      <c r="E26" s="23">
        <v>331.34899999999999</v>
      </c>
      <c r="F26" s="23">
        <v>1.73649E-5</v>
      </c>
    </row>
    <row r="27" spans="1:6" x14ac:dyDescent="0.35">
      <c r="A27" s="23">
        <v>2400</v>
      </c>
      <c r="B27" s="23">
        <v>-0.6</v>
      </c>
      <c r="C27" s="23">
        <v>75625.7</v>
      </c>
      <c r="D27" s="23">
        <v>0.96663200000000005</v>
      </c>
      <c r="E27" s="23">
        <v>330.95400000000001</v>
      </c>
      <c r="F27" s="23">
        <v>1.7331599999999999E-5</v>
      </c>
    </row>
    <row r="28" spans="1:6" x14ac:dyDescent="0.35">
      <c r="A28" s="23">
        <v>2500</v>
      </c>
      <c r="B28" s="23">
        <v>-1.25</v>
      </c>
      <c r="C28" s="23">
        <v>74682.5</v>
      </c>
      <c r="D28" s="23">
        <v>0.95685900000000002</v>
      </c>
      <c r="E28" s="23">
        <v>330.56</v>
      </c>
      <c r="F28" s="23">
        <v>1.72983E-5</v>
      </c>
    </row>
    <row r="29" spans="1:6" x14ac:dyDescent="0.35">
      <c r="A29" s="23">
        <v>2600</v>
      </c>
      <c r="B29" s="23">
        <v>-1.9</v>
      </c>
      <c r="C29" s="23">
        <v>73748.899999999994</v>
      </c>
      <c r="D29" s="23">
        <v>0.94716199999999995</v>
      </c>
      <c r="E29" s="23">
        <v>330.16399999999999</v>
      </c>
      <c r="F29" s="23">
        <v>1.7264900000000001E-5</v>
      </c>
    </row>
    <row r="30" spans="1:6" x14ac:dyDescent="0.35">
      <c r="A30" s="23">
        <v>2700</v>
      </c>
      <c r="B30" s="23">
        <v>-2.5499999999999998</v>
      </c>
      <c r="C30" s="23">
        <v>72824.800000000003</v>
      </c>
      <c r="D30" s="23">
        <v>0.93754000000000004</v>
      </c>
      <c r="E30" s="23">
        <v>329.76799999999997</v>
      </c>
      <c r="F30" s="23">
        <v>1.7231499999999999E-5</v>
      </c>
    </row>
    <row r="31" spans="1:6" x14ac:dyDescent="0.35">
      <c r="A31" s="23">
        <v>2800</v>
      </c>
      <c r="B31" s="23">
        <v>-3.2</v>
      </c>
      <c r="C31" s="23">
        <v>71910.100000000006</v>
      </c>
      <c r="D31" s="23">
        <v>0.92799299999999996</v>
      </c>
      <c r="E31" s="23">
        <v>329.37200000000001</v>
      </c>
      <c r="F31" s="23">
        <v>1.7198100000000001E-5</v>
      </c>
    </row>
    <row r="32" spans="1:6" x14ac:dyDescent="0.35">
      <c r="A32" s="23">
        <v>2900</v>
      </c>
      <c r="B32" s="23">
        <v>-3.85</v>
      </c>
      <c r="C32" s="23">
        <v>71004.7</v>
      </c>
      <c r="D32" s="23">
        <v>0.91852</v>
      </c>
      <c r="E32" s="23">
        <v>328.97500000000002</v>
      </c>
      <c r="F32" s="23">
        <v>1.7164600000000002E-5</v>
      </c>
    </row>
    <row r="33" spans="1:6" x14ac:dyDescent="0.35">
      <c r="A33" s="23">
        <v>3000</v>
      </c>
      <c r="B33" s="23">
        <v>-4.5</v>
      </c>
      <c r="C33" s="23">
        <v>70108.5</v>
      </c>
      <c r="D33" s="23">
        <v>0.90912199999999999</v>
      </c>
      <c r="E33" s="23">
        <v>328.57799999999997</v>
      </c>
      <c r="F33" s="23">
        <v>1.7131099999999999E-5</v>
      </c>
    </row>
    <row r="34" spans="1:6" x14ac:dyDescent="0.35">
      <c r="A34" s="23">
        <v>3100</v>
      </c>
      <c r="B34" s="23">
        <v>-5.15</v>
      </c>
      <c r="C34" s="23">
        <v>69221.600000000006</v>
      </c>
      <c r="D34" s="23">
        <v>0.89979799999999999</v>
      </c>
      <c r="E34" s="23">
        <v>328.18</v>
      </c>
      <c r="F34" s="23">
        <v>1.70976E-5</v>
      </c>
    </row>
    <row r="35" spans="1:6" x14ac:dyDescent="0.35">
      <c r="A35" s="23">
        <v>3200</v>
      </c>
      <c r="B35" s="23">
        <v>-5.8</v>
      </c>
      <c r="C35" s="23">
        <v>68343.7</v>
      </c>
      <c r="D35" s="23">
        <v>0.89054599999999995</v>
      </c>
      <c r="E35" s="23">
        <v>327.78199999999998</v>
      </c>
      <c r="F35" s="23">
        <v>1.7064000000000001E-5</v>
      </c>
    </row>
    <row r="36" spans="1:6" x14ac:dyDescent="0.35">
      <c r="A36" s="23">
        <v>3300</v>
      </c>
      <c r="B36" s="23">
        <v>-6.45</v>
      </c>
      <c r="C36" s="23">
        <v>67474.899999999994</v>
      </c>
      <c r="D36" s="23">
        <v>0.88136800000000004</v>
      </c>
      <c r="E36" s="23">
        <v>327.38299999999998</v>
      </c>
      <c r="F36" s="23">
        <v>1.7030399999999999E-5</v>
      </c>
    </row>
    <row r="37" spans="1:6" x14ac:dyDescent="0.35">
      <c r="A37" s="23">
        <v>3400</v>
      </c>
      <c r="B37" s="23">
        <v>-7.1</v>
      </c>
      <c r="C37" s="23">
        <v>66615</v>
      </c>
      <c r="D37" s="23">
        <v>0.87226199999999998</v>
      </c>
      <c r="E37" s="23">
        <v>326.98399999999998</v>
      </c>
      <c r="F37" s="23">
        <v>1.6996699999999999E-5</v>
      </c>
    </row>
    <row r="38" spans="1:6" x14ac:dyDescent="0.35">
      <c r="A38" s="23">
        <v>3500</v>
      </c>
      <c r="B38" s="23">
        <v>-7.75</v>
      </c>
      <c r="C38" s="23">
        <v>65764.100000000006</v>
      </c>
      <c r="D38" s="23">
        <v>0.86322900000000002</v>
      </c>
      <c r="E38" s="23">
        <v>326.584</v>
      </c>
      <c r="F38" s="23">
        <v>1.6963E-5</v>
      </c>
    </row>
    <row r="39" spans="1:6" x14ac:dyDescent="0.35">
      <c r="A39" s="23">
        <v>3600</v>
      </c>
      <c r="B39" s="23">
        <v>-8.4</v>
      </c>
      <c r="C39" s="23">
        <v>64921.9</v>
      </c>
      <c r="D39" s="23">
        <v>0.854267</v>
      </c>
      <c r="E39" s="23">
        <v>326.18400000000003</v>
      </c>
      <c r="F39" s="23">
        <v>1.6929300000000001E-5</v>
      </c>
    </row>
    <row r="40" spans="1:6" x14ac:dyDescent="0.35">
      <c r="A40" s="23">
        <v>3700</v>
      </c>
      <c r="B40" s="23">
        <v>-9.0500000000000007</v>
      </c>
      <c r="C40" s="23">
        <v>64088.6</v>
      </c>
      <c r="D40" s="23">
        <v>0.84537700000000005</v>
      </c>
      <c r="E40" s="23">
        <v>325.78399999999999</v>
      </c>
      <c r="F40" s="23">
        <v>1.6895500000000001E-5</v>
      </c>
    </row>
    <row r="41" spans="1:6" x14ac:dyDescent="0.35">
      <c r="A41" s="23">
        <v>3800</v>
      </c>
      <c r="B41" s="23">
        <v>-9.6999999999999993</v>
      </c>
      <c r="C41" s="23">
        <v>63263.9</v>
      </c>
      <c r="D41" s="23">
        <v>0.836557</v>
      </c>
      <c r="E41" s="23">
        <v>325.38200000000001</v>
      </c>
      <c r="F41" s="23">
        <v>1.6861700000000002E-5</v>
      </c>
    </row>
    <row r="42" spans="1:6" x14ac:dyDescent="0.35">
      <c r="A42" s="23">
        <v>3900</v>
      </c>
      <c r="B42" s="23">
        <v>-10.35</v>
      </c>
      <c r="C42" s="23">
        <v>62447.8</v>
      </c>
      <c r="D42" s="23">
        <v>0.82780799999999999</v>
      </c>
      <c r="E42" s="23">
        <v>324.98099999999999</v>
      </c>
      <c r="F42" s="23">
        <v>1.6827899999999999E-5</v>
      </c>
    </row>
    <row r="43" spans="1:6" x14ac:dyDescent="0.35">
      <c r="A43" s="23">
        <v>4000</v>
      </c>
      <c r="B43" s="23">
        <v>-11</v>
      </c>
      <c r="C43" s="23">
        <v>61640.2</v>
      </c>
      <c r="D43" s="23">
        <v>0.819129</v>
      </c>
      <c r="E43" s="23">
        <v>324.57900000000001</v>
      </c>
      <c r="F43" s="23">
        <v>1.6793999999999999E-5</v>
      </c>
    </row>
    <row r="44" spans="1:6" x14ac:dyDescent="0.35">
      <c r="A44" s="23">
        <v>4100</v>
      </c>
      <c r="B44" s="23">
        <v>-11.65</v>
      </c>
      <c r="C44" s="23">
        <v>60841.2</v>
      </c>
      <c r="D44" s="23">
        <v>0.81052000000000002</v>
      </c>
      <c r="E44" s="23">
        <v>324.17599999999999</v>
      </c>
      <c r="F44" s="23">
        <v>1.6760099999999999E-5</v>
      </c>
    </row>
    <row r="45" spans="1:6" x14ac:dyDescent="0.35">
      <c r="A45" s="23">
        <v>4200</v>
      </c>
      <c r="B45" s="23">
        <v>-12.3</v>
      </c>
      <c r="C45" s="23">
        <v>60050.5</v>
      </c>
      <c r="D45" s="23">
        <v>0.80198100000000005</v>
      </c>
      <c r="E45" s="23">
        <v>323.77300000000002</v>
      </c>
      <c r="F45" s="23">
        <v>1.6726099999999999E-5</v>
      </c>
    </row>
    <row r="46" spans="1:6" x14ac:dyDescent="0.35">
      <c r="A46" s="23">
        <v>4300</v>
      </c>
      <c r="B46" s="23">
        <v>-12.95</v>
      </c>
      <c r="C46" s="23">
        <v>59268.2</v>
      </c>
      <c r="D46" s="23">
        <v>0.79351000000000005</v>
      </c>
      <c r="E46" s="23">
        <v>323.36900000000003</v>
      </c>
      <c r="F46" s="23">
        <v>1.6692199999999999E-5</v>
      </c>
    </row>
    <row r="47" spans="1:6" x14ac:dyDescent="0.35">
      <c r="A47" s="23">
        <v>4400</v>
      </c>
      <c r="B47" s="23">
        <v>-13.6</v>
      </c>
      <c r="C47" s="23">
        <v>58494.2</v>
      </c>
      <c r="D47" s="23">
        <v>0.78510800000000003</v>
      </c>
      <c r="E47" s="23">
        <v>322.96499999999997</v>
      </c>
      <c r="F47" s="23">
        <v>1.6658099999999999E-5</v>
      </c>
    </row>
    <row r="48" spans="1:6" x14ac:dyDescent="0.35">
      <c r="A48" s="23">
        <v>4500</v>
      </c>
      <c r="B48" s="23">
        <v>-14.25</v>
      </c>
      <c r="C48" s="23">
        <v>57728.3</v>
      </c>
      <c r="D48" s="23">
        <v>0.77677499999999999</v>
      </c>
      <c r="E48" s="23">
        <v>322.56</v>
      </c>
      <c r="F48" s="23">
        <v>1.6624099999999999E-5</v>
      </c>
    </row>
    <row r="49" spans="1:6" x14ac:dyDescent="0.35">
      <c r="A49" s="23">
        <v>4600</v>
      </c>
      <c r="B49" s="23">
        <v>-14.9</v>
      </c>
      <c r="C49" s="23">
        <v>56970.6</v>
      </c>
      <c r="D49" s="23">
        <v>0.768509</v>
      </c>
      <c r="E49" s="23">
        <v>322.15499999999997</v>
      </c>
      <c r="F49" s="23">
        <v>1.6589999999999999E-5</v>
      </c>
    </row>
    <row r="50" spans="1:6" x14ac:dyDescent="0.35">
      <c r="A50" s="23">
        <v>4700</v>
      </c>
      <c r="B50" s="23">
        <v>-15.55</v>
      </c>
      <c r="C50" s="23">
        <v>56221</v>
      </c>
      <c r="D50" s="23">
        <v>0.76031000000000004</v>
      </c>
      <c r="E50" s="23">
        <v>321.75</v>
      </c>
      <c r="F50" s="23">
        <v>1.6555800000000002E-5</v>
      </c>
    </row>
    <row r="51" spans="1:6" x14ac:dyDescent="0.35">
      <c r="A51" s="23">
        <v>4800</v>
      </c>
      <c r="B51" s="23">
        <v>-16.2</v>
      </c>
      <c r="C51" s="23">
        <v>55479.4</v>
      </c>
      <c r="D51" s="23">
        <v>0.75217900000000004</v>
      </c>
      <c r="E51" s="23">
        <v>321.34300000000002</v>
      </c>
      <c r="F51" s="23">
        <v>1.6521600000000001E-5</v>
      </c>
    </row>
    <row r="52" spans="1:6" x14ac:dyDescent="0.35">
      <c r="A52" s="23">
        <v>4900</v>
      </c>
      <c r="B52" s="23">
        <v>-16.850000000000001</v>
      </c>
      <c r="C52" s="23">
        <v>54745.7</v>
      </c>
      <c r="D52" s="23">
        <v>0.74411400000000005</v>
      </c>
      <c r="E52" s="23">
        <v>320.93700000000001</v>
      </c>
      <c r="F52" s="23">
        <v>1.6487400000000001E-5</v>
      </c>
    </row>
    <row r="53" spans="1:6" x14ac:dyDescent="0.35">
      <c r="A53" s="23">
        <v>5000</v>
      </c>
      <c r="B53" s="23">
        <v>-17.5</v>
      </c>
      <c r="C53" s="23">
        <v>54019.9</v>
      </c>
      <c r="D53" s="23">
        <v>0.73611599999999999</v>
      </c>
      <c r="E53" s="23">
        <v>320.529</v>
      </c>
      <c r="F53" s="23">
        <v>1.64531E-5</v>
      </c>
    </row>
    <row r="54" spans="1:6" x14ac:dyDescent="0.35">
      <c r="A54" s="23">
        <v>5100</v>
      </c>
      <c r="B54" s="23">
        <v>-18.149999999999999</v>
      </c>
      <c r="C54" s="23">
        <v>53301.9</v>
      </c>
      <c r="D54" s="23">
        <v>0.72818300000000002</v>
      </c>
      <c r="E54" s="23">
        <v>320.12200000000001</v>
      </c>
      <c r="F54" s="23">
        <v>1.6418799999999999E-5</v>
      </c>
    </row>
    <row r="55" spans="1:6" x14ac:dyDescent="0.35">
      <c r="A55" s="23">
        <v>5200</v>
      </c>
      <c r="B55" s="23">
        <v>-18.8</v>
      </c>
      <c r="C55" s="23">
        <v>52591.7</v>
      </c>
      <c r="D55" s="23">
        <v>0.72031699999999999</v>
      </c>
      <c r="E55" s="23">
        <v>319.71300000000002</v>
      </c>
      <c r="F55" s="23">
        <v>1.6384499999999999E-5</v>
      </c>
    </row>
    <row r="56" spans="1:6" x14ac:dyDescent="0.35">
      <c r="A56" s="23">
        <v>5300</v>
      </c>
      <c r="B56" s="23">
        <v>-19.45</v>
      </c>
      <c r="C56" s="23">
        <v>51889.1</v>
      </c>
      <c r="D56" s="23">
        <v>0.71251500000000001</v>
      </c>
      <c r="E56" s="23">
        <v>319.30500000000001</v>
      </c>
      <c r="F56" s="23">
        <v>1.6350100000000001E-5</v>
      </c>
    </row>
    <row r="57" spans="1:6" x14ac:dyDescent="0.35">
      <c r="A57" s="23">
        <v>5400</v>
      </c>
      <c r="B57" s="23">
        <v>-20.100000000000001</v>
      </c>
      <c r="C57" s="23">
        <v>51194.2</v>
      </c>
      <c r="D57" s="23">
        <v>0.70477800000000002</v>
      </c>
      <c r="E57" s="23">
        <v>318.89499999999998</v>
      </c>
      <c r="F57" s="23">
        <v>1.63157E-5</v>
      </c>
    </row>
    <row r="58" spans="1:6" x14ac:dyDescent="0.35">
      <c r="A58" s="23">
        <v>5500</v>
      </c>
      <c r="B58" s="23">
        <v>-20.75</v>
      </c>
      <c r="C58" s="23">
        <v>50506.8</v>
      </c>
      <c r="D58" s="23">
        <v>0.697106</v>
      </c>
      <c r="E58" s="23">
        <v>318.48599999999999</v>
      </c>
      <c r="F58" s="23">
        <v>1.6281299999999999E-5</v>
      </c>
    </row>
    <row r="59" spans="1:6" x14ac:dyDescent="0.35">
      <c r="A59" s="23">
        <v>5600</v>
      </c>
      <c r="B59" s="23">
        <v>-21.4</v>
      </c>
      <c r="C59" s="23">
        <v>49826.9</v>
      </c>
      <c r="D59" s="23">
        <v>0.68949700000000003</v>
      </c>
      <c r="E59" s="23">
        <v>318.07499999999999</v>
      </c>
      <c r="F59" s="23">
        <v>1.6246799999999998E-5</v>
      </c>
    </row>
    <row r="60" spans="1:6" x14ac:dyDescent="0.35">
      <c r="A60" s="23">
        <v>5700</v>
      </c>
      <c r="B60" s="23">
        <v>-22.05</v>
      </c>
      <c r="C60" s="23">
        <v>49154.5</v>
      </c>
      <c r="D60" s="23">
        <v>0.68195300000000003</v>
      </c>
      <c r="E60" s="23">
        <v>317.66399999999999</v>
      </c>
      <c r="F60" s="23">
        <v>1.62122E-5</v>
      </c>
    </row>
    <row r="61" spans="1:6" x14ac:dyDescent="0.35">
      <c r="A61" s="23">
        <v>5800</v>
      </c>
      <c r="B61" s="23">
        <v>-22.7</v>
      </c>
      <c r="C61" s="23">
        <v>48489.4</v>
      </c>
      <c r="D61" s="23">
        <v>0.67447100000000004</v>
      </c>
      <c r="E61" s="23">
        <v>317.25299999999999</v>
      </c>
      <c r="F61" s="23">
        <v>1.6177699999999999E-5</v>
      </c>
    </row>
    <row r="62" spans="1:6" x14ac:dyDescent="0.35">
      <c r="A62" s="23">
        <v>5900</v>
      </c>
      <c r="B62" s="23">
        <v>-23.35</v>
      </c>
      <c r="C62" s="23">
        <v>47831.6</v>
      </c>
      <c r="D62" s="23">
        <v>0.66705300000000001</v>
      </c>
      <c r="E62" s="23">
        <v>316.84100000000001</v>
      </c>
      <c r="F62" s="23">
        <v>1.6143000000000001E-5</v>
      </c>
    </row>
    <row r="63" spans="1:6" x14ac:dyDescent="0.35">
      <c r="A63" s="23">
        <v>6000</v>
      </c>
      <c r="B63" s="23">
        <v>-24</v>
      </c>
      <c r="C63" s="23">
        <v>47181</v>
      </c>
      <c r="D63" s="23">
        <v>0.65969699999999998</v>
      </c>
      <c r="E63" s="23">
        <v>316.428</v>
      </c>
      <c r="F63" s="23">
        <v>1.61084E-5</v>
      </c>
    </row>
    <row r="64" spans="1:6" x14ac:dyDescent="0.35">
      <c r="A64" s="23">
        <v>6100</v>
      </c>
      <c r="B64" s="23">
        <v>-24.65</v>
      </c>
      <c r="C64" s="23">
        <v>46537.7</v>
      </c>
      <c r="D64" s="23">
        <v>0.65240399999999998</v>
      </c>
      <c r="E64" s="23">
        <v>316.01499999999999</v>
      </c>
      <c r="F64" s="23">
        <v>1.6073700000000002E-5</v>
      </c>
    </row>
    <row r="65" spans="1:6" x14ac:dyDescent="0.35">
      <c r="A65" s="23">
        <v>6200</v>
      </c>
      <c r="B65" s="23">
        <v>-25.3</v>
      </c>
      <c r="C65" s="23">
        <v>45901.4</v>
      </c>
      <c r="D65" s="23">
        <v>0.64517199999999997</v>
      </c>
      <c r="E65" s="23">
        <v>315.60199999999998</v>
      </c>
      <c r="F65" s="23">
        <v>1.6039E-5</v>
      </c>
    </row>
    <row r="66" spans="1:6" x14ac:dyDescent="0.35">
      <c r="A66" s="23">
        <v>6300</v>
      </c>
      <c r="B66" s="23">
        <v>-25.95</v>
      </c>
      <c r="C66" s="23">
        <v>45272.3</v>
      </c>
      <c r="D66" s="23">
        <v>0.63800199999999996</v>
      </c>
      <c r="E66" s="23">
        <v>315.18799999999999</v>
      </c>
      <c r="F66" s="23">
        <v>1.6004199999999998E-5</v>
      </c>
    </row>
    <row r="67" spans="1:6" x14ac:dyDescent="0.35">
      <c r="A67" s="23">
        <v>6400</v>
      </c>
      <c r="B67" s="23">
        <v>-26.6</v>
      </c>
      <c r="C67" s="23">
        <v>44650.1</v>
      </c>
      <c r="D67" s="23">
        <v>0.63089200000000001</v>
      </c>
      <c r="E67" s="23">
        <v>314.77300000000002</v>
      </c>
      <c r="F67" s="23">
        <v>1.59694E-5</v>
      </c>
    </row>
    <row r="68" spans="1:6" x14ac:dyDescent="0.35">
      <c r="A68" s="23">
        <v>6500</v>
      </c>
      <c r="B68" s="23">
        <v>-27.25</v>
      </c>
      <c r="C68" s="23">
        <v>44034.8</v>
      </c>
      <c r="D68" s="23">
        <v>0.62384399999999995</v>
      </c>
      <c r="E68" s="23">
        <v>314.358</v>
      </c>
      <c r="F68" s="23">
        <v>1.5934500000000001E-5</v>
      </c>
    </row>
    <row r="69" spans="1:6" x14ac:dyDescent="0.35">
      <c r="A69" s="23">
        <v>6600</v>
      </c>
      <c r="B69" s="23">
        <v>-27.9</v>
      </c>
      <c r="C69" s="23">
        <v>43426.5</v>
      </c>
      <c r="D69" s="23">
        <v>0.61685599999999996</v>
      </c>
      <c r="E69" s="23">
        <v>313.94200000000001</v>
      </c>
      <c r="F69" s="23">
        <v>1.5899599999999999E-5</v>
      </c>
    </row>
    <row r="70" spans="1:6" x14ac:dyDescent="0.35">
      <c r="A70" s="23">
        <v>6700</v>
      </c>
      <c r="B70" s="23">
        <v>-28.55</v>
      </c>
      <c r="C70" s="23">
        <v>42825</v>
      </c>
      <c r="D70" s="23">
        <v>0.60992800000000003</v>
      </c>
      <c r="E70" s="23">
        <v>313.52600000000001</v>
      </c>
      <c r="F70" s="23">
        <v>1.5864700000000001E-5</v>
      </c>
    </row>
    <row r="71" spans="1:6" x14ac:dyDescent="0.35">
      <c r="A71" s="23">
        <v>6800</v>
      </c>
      <c r="B71" s="23">
        <v>-29.2</v>
      </c>
      <c r="C71" s="23">
        <v>42230.2</v>
      </c>
      <c r="D71" s="23">
        <v>0.60306000000000004</v>
      </c>
      <c r="E71" s="23">
        <v>313.10899999999998</v>
      </c>
      <c r="F71" s="23">
        <v>1.5829699999999999E-5</v>
      </c>
    </row>
    <row r="72" spans="1:6" x14ac:dyDescent="0.35">
      <c r="A72" s="23">
        <v>6900</v>
      </c>
      <c r="B72" s="23">
        <v>-29.85</v>
      </c>
      <c r="C72" s="23">
        <v>41642.199999999997</v>
      </c>
      <c r="D72" s="23">
        <v>0.59625099999999998</v>
      </c>
      <c r="E72" s="23">
        <v>312.69200000000001</v>
      </c>
      <c r="F72" s="23">
        <v>1.57947E-5</v>
      </c>
    </row>
    <row r="73" spans="1:6" x14ac:dyDescent="0.35">
      <c r="A73" s="23">
        <v>7000</v>
      </c>
      <c r="B73" s="23">
        <v>-30.5</v>
      </c>
      <c r="C73" s="23">
        <v>41060.699999999997</v>
      </c>
      <c r="D73" s="23">
        <v>0.58950100000000005</v>
      </c>
      <c r="E73" s="23">
        <v>312.274</v>
      </c>
      <c r="F73" s="23">
        <v>1.5759600000000001E-5</v>
      </c>
    </row>
    <row r="74" spans="1:6" x14ac:dyDescent="0.35">
      <c r="A74" s="23">
        <v>7100</v>
      </c>
      <c r="B74" s="23">
        <v>-31.15</v>
      </c>
      <c r="C74" s="23">
        <v>40485.9</v>
      </c>
      <c r="D74" s="23">
        <v>0.58281000000000005</v>
      </c>
      <c r="E74" s="23">
        <v>311.85500000000002</v>
      </c>
      <c r="F74" s="23">
        <v>1.5724500000000002E-5</v>
      </c>
    </row>
    <row r="75" spans="1:6" x14ac:dyDescent="0.35">
      <c r="A75" s="23">
        <v>7200</v>
      </c>
      <c r="B75" s="23">
        <v>-31.8</v>
      </c>
      <c r="C75" s="23">
        <v>39917.599999999999</v>
      </c>
      <c r="D75" s="23">
        <v>0.57617700000000005</v>
      </c>
      <c r="E75" s="23">
        <v>311.43599999999998</v>
      </c>
      <c r="F75" s="23">
        <v>1.5689399999999999E-5</v>
      </c>
    </row>
    <row r="76" spans="1:6" x14ac:dyDescent="0.35">
      <c r="A76" s="23">
        <v>7300</v>
      </c>
      <c r="B76" s="23">
        <v>-32.450000000000003</v>
      </c>
      <c r="C76" s="23">
        <v>39355.800000000003</v>
      </c>
      <c r="D76" s="23">
        <v>0.56960200000000005</v>
      </c>
      <c r="E76" s="23">
        <v>311.01600000000002</v>
      </c>
      <c r="F76" s="23">
        <v>1.56542E-5</v>
      </c>
    </row>
    <row r="77" spans="1:6" x14ac:dyDescent="0.35">
      <c r="A77" s="23">
        <v>7400</v>
      </c>
      <c r="B77" s="23">
        <v>-33.1</v>
      </c>
      <c r="C77" s="23">
        <v>38800.400000000001</v>
      </c>
      <c r="D77" s="23">
        <v>0.56308400000000003</v>
      </c>
      <c r="E77" s="23">
        <v>310.596</v>
      </c>
      <c r="F77" s="23">
        <v>1.5619000000000001E-5</v>
      </c>
    </row>
    <row r="78" spans="1:6" x14ac:dyDescent="0.35">
      <c r="A78" s="23">
        <v>7500</v>
      </c>
      <c r="B78" s="23">
        <v>-33.75</v>
      </c>
      <c r="C78" s="23">
        <v>38251.4</v>
      </c>
      <c r="D78" s="23">
        <v>0.55662400000000001</v>
      </c>
      <c r="E78" s="23">
        <v>310.17500000000001</v>
      </c>
      <c r="F78" s="23">
        <v>1.5583700000000001E-5</v>
      </c>
    </row>
    <row r="79" spans="1:6" x14ac:dyDescent="0.35">
      <c r="A79" s="23">
        <v>7600</v>
      </c>
      <c r="B79" s="23">
        <v>-34.4</v>
      </c>
      <c r="C79" s="23">
        <v>37708.699999999997</v>
      </c>
      <c r="D79" s="23">
        <v>0.55022000000000004</v>
      </c>
      <c r="E79" s="23">
        <v>309.75400000000002</v>
      </c>
      <c r="F79" s="23">
        <v>1.5548399999999998E-5</v>
      </c>
    </row>
    <row r="80" spans="1:6" x14ac:dyDescent="0.35">
      <c r="A80" s="23">
        <v>7700</v>
      </c>
      <c r="B80" s="23">
        <v>-35.049999999999997</v>
      </c>
      <c r="C80" s="23">
        <v>37172.199999999997</v>
      </c>
      <c r="D80" s="23">
        <v>0.54387300000000005</v>
      </c>
      <c r="E80" s="23">
        <v>309.33199999999999</v>
      </c>
      <c r="F80" s="23">
        <v>1.5513099999999999E-5</v>
      </c>
    </row>
    <row r="81" spans="1:6" x14ac:dyDescent="0.35">
      <c r="A81" s="23">
        <v>7800</v>
      </c>
      <c r="B81" s="23">
        <v>-35.700000000000003</v>
      </c>
      <c r="C81" s="23">
        <v>36642</v>
      </c>
      <c r="D81" s="23">
        <v>0.537582</v>
      </c>
      <c r="E81" s="23">
        <v>308.90899999999999</v>
      </c>
      <c r="F81" s="23">
        <v>1.5477699999999999E-5</v>
      </c>
    </row>
    <row r="82" spans="1:6" x14ac:dyDescent="0.35">
      <c r="A82" s="23">
        <v>7900</v>
      </c>
      <c r="B82" s="23">
        <v>-36.35</v>
      </c>
      <c r="C82" s="23">
        <v>36117.800000000003</v>
      </c>
      <c r="D82" s="23">
        <v>0.53134700000000001</v>
      </c>
      <c r="E82" s="23">
        <v>308.48599999999999</v>
      </c>
      <c r="F82" s="23">
        <v>1.54423E-5</v>
      </c>
    </row>
    <row r="83" spans="1:6" x14ac:dyDescent="0.35">
      <c r="A83" s="23">
        <v>8000</v>
      </c>
      <c r="B83" s="23">
        <v>-37</v>
      </c>
      <c r="C83" s="23">
        <v>35599.800000000003</v>
      </c>
      <c r="D83" s="23">
        <v>0.52516799999999997</v>
      </c>
      <c r="E83" s="23">
        <v>308.06299999999999</v>
      </c>
      <c r="F83" s="23">
        <v>1.54068E-5</v>
      </c>
    </row>
    <row r="84" spans="1:6" x14ac:dyDescent="0.35">
      <c r="A84" s="23">
        <v>8100</v>
      </c>
      <c r="B84" s="23">
        <v>-37.65</v>
      </c>
      <c r="C84" s="23">
        <v>35087.800000000003</v>
      </c>
      <c r="D84" s="23">
        <v>0.51904300000000003</v>
      </c>
      <c r="E84" s="23">
        <v>307.63799999999998</v>
      </c>
      <c r="F84" s="23">
        <v>1.53713E-5</v>
      </c>
    </row>
    <row r="85" spans="1:6" x14ac:dyDescent="0.35">
      <c r="A85" s="23">
        <v>8200</v>
      </c>
      <c r="B85" s="23">
        <v>-38.299999999999997</v>
      </c>
      <c r="C85" s="23">
        <v>34581.800000000003</v>
      </c>
      <c r="D85" s="23">
        <v>0.51297300000000001</v>
      </c>
      <c r="E85" s="23">
        <v>307.214</v>
      </c>
      <c r="F85" s="23">
        <v>1.53357E-5</v>
      </c>
    </row>
    <row r="86" spans="1:6" x14ac:dyDescent="0.35">
      <c r="A86" s="23">
        <v>8300</v>
      </c>
      <c r="B86" s="23">
        <v>-38.950000000000003</v>
      </c>
      <c r="C86" s="23">
        <v>34081.699999999997</v>
      </c>
      <c r="D86" s="23">
        <v>0.50695800000000002</v>
      </c>
      <c r="E86" s="23">
        <v>306.78800000000001</v>
      </c>
      <c r="F86" s="23">
        <v>1.5300099999999999E-5</v>
      </c>
    </row>
    <row r="87" spans="1:6" x14ac:dyDescent="0.35">
      <c r="A87" s="23">
        <v>8400</v>
      </c>
      <c r="B87" s="23">
        <v>-39.6</v>
      </c>
      <c r="C87" s="23">
        <v>33587.5</v>
      </c>
      <c r="D87" s="23">
        <v>0.50099700000000003</v>
      </c>
      <c r="E87" s="23">
        <v>306.36200000000002</v>
      </c>
      <c r="F87" s="23">
        <v>1.5264499999999999E-5</v>
      </c>
    </row>
    <row r="88" spans="1:6" x14ac:dyDescent="0.35">
      <c r="A88" s="23">
        <v>8500</v>
      </c>
      <c r="B88" s="23">
        <v>-40.25</v>
      </c>
      <c r="C88" s="23">
        <v>33099</v>
      </c>
      <c r="D88" s="23">
        <v>0.49508999999999997</v>
      </c>
      <c r="E88" s="23">
        <v>305.935</v>
      </c>
      <c r="F88" s="23">
        <v>1.5228800000000001E-5</v>
      </c>
    </row>
    <row r="89" spans="1:6" x14ac:dyDescent="0.35">
      <c r="A89" s="23">
        <v>8600</v>
      </c>
      <c r="B89" s="23">
        <v>-40.9</v>
      </c>
      <c r="C89" s="23">
        <v>32616.400000000001</v>
      </c>
      <c r="D89" s="23">
        <v>0.489236</v>
      </c>
      <c r="E89" s="23">
        <v>305.50799999999998</v>
      </c>
      <c r="F89" s="23">
        <v>1.51931E-5</v>
      </c>
    </row>
    <row r="90" spans="1:6" x14ac:dyDescent="0.35">
      <c r="A90" s="23">
        <v>8700</v>
      </c>
      <c r="B90" s="23">
        <v>-41.55</v>
      </c>
      <c r="C90" s="23">
        <v>32139.5</v>
      </c>
      <c r="D90" s="23">
        <v>0.483435</v>
      </c>
      <c r="E90" s="23">
        <v>305.08</v>
      </c>
      <c r="F90" s="23">
        <v>1.51573E-5</v>
      </c>
    </row>
    <row r="91" spans="1:6" x14ac:dyDescent="0.35">
      <c r="A91" s="23">
        <v>8800</v>
      </c>
      <c r="B91" s="23">
        <v>-42.2</v>
      </c>
      <c r="C91" s="23">
        <v>31668.2</v>
      </c>
      <c r="D91" s="23">
        <v>0.47768699999999997</v>
      </c>
      <c r="E91" s="23">
        <v>304.65199999999999</v>
      </c>
      <c r="F91" s="23">
        <v>1.5121500000000001E-5</v>
      </c>
    </row>
    <row r="92" spans="1:6" x14ac:dyDescent="0.35">
      <c r="A92" s="23">
        <v>8900</v>
      </c>
      <c r="B92" s="23">
        <v>-42.85</v>
      </c>
      <c r="C92" s="23">
        <v>31202.6</v>
      </c>
      <c r="D92" s="23">
        <v>0.47199200000000002</v>
      </c>
      <c r="E92" s="23">
        <v>304.22300000000001</v>
      </c>
      <c r="F92" s="23">
        <v>1.50857E-5</v>
      </c>
    </row>
    <row r="93" spans="1:6" x14ac:dyDescent="0.35">
      <c r="A93" s="23">
        <v>9000</v>
      </c>
      <c r="B93" s="23">
        <v>-43.5</v>
      </c>
      <c r="C93" s="23">
        <v>30742.5</v>
      </c>
      <c r="D93" s="23">
        <v>0.46634799999999998</v>
      </c>
      <c r="E93" s="23">
        <v>303.79300000000001</v>
      </c>
      <c r="F93" s="23">
        <v>1.5049799999999999E-5</v>
      </c>
    </row>
    <row r="94" spans="1:6" x14ac:dyDescent="0.35">
      <c r="A94" s="23">
        <v>9100</v>
      </c>
      <c r="B94" s="23">
        <v>-44.15</v>
      </c>
      <c r="C94" s="23">
        <v>30287.9</v>
      </c>
      <c r="D94" s="23">
        <v>0.460756</v>
      </c>
      <c r="E94" s="23">
        <v>303.363</v>
      </c>
      <c r="F94" s="23">
        <v>1.50138E-5</v>
      </c>
    </row>
    <row r="95" spans="1:6" x14ac:dyDescent="0.35">
      <c r="A95" s="23">
        <v>9200</v>
      </c>
      <c r="B95" s="23">
        <v>-44.8</v>
      </c>
      <c r="C95" s="23">
        <v>29838.7</v>
      </c>
      <c r="D95" s="23">
        <v>0.45521600000000001</v>
      </c>
      <c r="E95" s="23">
        <v>302.93200000000002</v>
      </c>
      <c r="F95" s="23">
        <v>1.4977800000000001E-5</v>
      </c>
    </row>
    <row r="96" spans="1:6" x14ac:dyDescent="0.35">
      <c r="A96" s="23">
        <v>9300</v>
      </c>
      <c r="B96" s="23">
        <v>-45.45</v>
      </c>
      <c r="C96" s="23">
        <v>29395</v>
      </c>
      <c r="D96" s="23">
        <v>0.44972699999999999</v>
      </c>
      <c r="E96" s="23">
        <v>302.50099999999998</v>
      </c>
      <c r="F96" s="23">
        <v>1.49418E-5</v>
      </c>
    </row>
    <row r="97" spans="1:6" x14ac:dyDescent="0.35">
      <c r="A97" s="23">
        <v>9400</v>
      </c>
      <c r="B97" s="23">
        <v>-46.1</v>
      </c>
      <c r="C97" s="23">
        <v>28956.7</v>
      </c>
      <c r="D97" s="23">
        <v>0.44428899999999999</v>
      </c>
      <c r="E97" s="23">
        <v>302.06900000000002</v>
      </c>
      <c r="F97" s="23">
        <v>1.4905800000000001E-5</v>
      </c>
    </row>
    <row r="98" spans="1:6" x14ac:dyDescent="0.35">
      <c r="A98" s="23">
        <v>9500</v>
      </c>
      <c r="B98" s="23">
        <v>-46.75</v>
      </c>
      <c r="C98" s="23">
        <v>28523.599999999999</v>
      </c>
      <c r="D98" s="23">
        <v>0.43890099999999999</v>
      </c>
      <c r="E98" s="23">
        <v>301.63600000000002</v>
      </c>
      <c r="F98" s="23">
        <v>1.4869600000000001E-5</v>
      </c>
    </row>
    <row r="99" spans="1:6" x14ac:dyDescent="0.35">
      <c r="A99" s="23">
        <v>9600</v>
      </c>
      <c r="B99" s="23">
        <v>-47.4</v>
      </c>
      <c r="C99" s="23">
        <v>28095.8</v>
      </c>
      <c r="D99" s="23">
        <v>0.43356299999999998</v>
      </c>
      <c r="E99" s="23">
        <v>301.20299999999997</v>
      </c>
      <c r="F99" s="23">
        <v>1.48335E-5</v>
      </c>
    </row>
    <row r="100" spans="1:6" x14ac:dyDescent="0.35">
      <c r="A100" s="23">
        <v>9700</v>
      </c>
      <c r="B100" s="23">
        <v>-48.05</v>
      </c>
      <c r="C100" s="23">
        <v>27673.200000000001</v>
      </c>
      <c r="D100" s="23">
        <v>0.42827500000000002</v>
      </c>
      <c r="E100" s="23">
        <v>300.76900000000001</v>
      </c>
      <c r="F100" s="23">
        <v>1.47973E-5</v>
      </c>
    </row>
    <row r="101" spans="1:6" x14ac:dyDescent="0.35">
      <c r="A101" s="23">
        <v>9800</v>
      </c>
      <c r="B101" s="23">
        <v>-48.7</v>
      </c>
      <c r="C101" s="23">
        <v>27255.8</v>
      </c>
      <c r="D101" s="23">
        <v>0.42303600000000002</v>
      </c>
      <c r="E101" s="23">
        <v>300.334</v>
      </c>
      <c r="F101" s="23">
        <v>1.4761E-5</v>
      </c>
    </row>
    <row r="102" spans="1:6" x14ac:dyDescent="0.35">
      <c r="A102" s="23">
        <v>9900</v>
      </c>
      <c r="B102" s="23">
        <v>-49.35</v>
      </c>
      <c r="C102" s="23">
        <v>26843.5</v>
      </c>
      <c r="D102" s="23">
        <v>0.41784700000000002</v>
      </c>
      <c r="E102" s="23">
        <v>299.899</v>
      </c>
      <c r="F102" s="23">
        <v>1.47247E-5</v>
      </c>
    </row>
    <row r="103" spans="1:6" x14ac:dyDescent="0.35">
      <c r="A103" s="23">
        <v>10000</v>
      </c>
      <c r="B103" s="23">
        <v>-50</v>
      </c>
      <c r="C103" s="23">
        <v>26436.3</v>
      </c>
      <c r="D103" s="23">
        <v>0.41270699999999999</v>
      </c>
      <c r="E103" s="23">
        <v>299.46300000000002</v>
      </c>
      <c r="F103" s="23">
        <v>1.46884E-5</v>
      </c>
    </row>
    <row r="104" spans="1:6" x14ac:dyDescent="0.35">
      <c r="A104" s="23">
        <v>10100</v>
      </c>
      <c r="B104" s="23">
        <v>-50.65</v>
      </c>
      <c r="C104" s="23">
        <v>26034</v>
      </c>
      <c r="D104" s="23">
        <v>0.40761500000000001</v>
      </c>
      <c r="E104" s="23">
        <v>299.02699999999999</v>
      </c>
      <c r="F104" s="23">
        <v>1.4652E-5</v>
      </c>
    </row>
    <row r="105" spans="1:6" x14ac:dyDescent="0.35">
      <c r="A105" s="23">
        <v>10200</v>
      </c>
      <c r="B105" s="23">
        <v>-51.3</v>
      </c>
      <c r="C105" s="23">
        <v>25636.799999999999</v>
      </c>
      <c r="D105" s="23">
        <v>0.40257100000000001</v>
      </c>
      <c r="E105" s="23">
        <v>298.58999999999997</v>
      </c>
      <c r="F105" s="23">
        <v>1.4615599999999999E-5</v>
      </c>
    </row>
    <row r="106" spans="1:6" x14ac:dyDescent="0.35">
      <c r="A106" s="23">
        <v>10300</v>
      </c>
      <c r="B106" s="23">
        <v>-51.95</v>
      </c>
      <c r="C106" s="23">
        <v>25244.5</v>
      </c>
      <c r="D106" s="23">
        <v>0.39757500000000001</v>
      </c>
      <c r="E106" s="23">
        <v>298.15199999999999</v>
      </c>
      <c r="F106" s="23">
        <v>1.4579199999999999E-5</v>
      </c>
    </row>
    <row r="107" spans="1:6" x14ac:dyDescent="0.35">
      <c r="A107" s="23">
        <v>10400</v>
      </c>
      <c r="B107" s="23">
        <v>-52.6</v>
      </c>
      <c r="C107" s="23">
        <v>24857</v>
      </c>
      <c r="D107" s="23">
        <v>0.392627</v>
      </c>
      <c r="E107" s="23">
        <v>297.714</v>
      </c>
      <c r="F107" s="23">
        <v>1.45426E-5</v>
      </c>
    </row>
    <row r="108" spans="1:6" x14ac:dyDescent="0.35">
      <c r="A108" s="23">
        <v>10500</v>
      </c>
      <c r="B108" s="23">
        <v>-53.25</v>
      </c>
      <c r="C108" s="23">
        <v>24474.400000000001</v>
      </c>
      <c r="D108" s="23">
        <v>0.38772499999999999</v>
      </c>
      <c r="E108" s="23">
        <v>297.27499999999998</v>
      </c>
      <c r="F108" s="23">
        <v>1.45061E-5</v>
      </c>
    </row>
    <row r="109" spans="1:6" x14ac:dyDescent="0.35">
      <c r="A109" s="23">
        <v>10600</v>
      </c>
      <c r="B109" s="23">
        <v>-53.9</v>
      </c>
      <c r="C109" s="23">
        <v>24096.5</v>
      </c>
      <c r="D109" s="23">
        <v>0.38287100000000002</v>
      </c>
      <c r="E109" s="23">
        <v>296.83499999999998</v>
      </c>
      <c r="F109" s="23">
        <v>1.4469499999999999E-5</v>
      </c>
    </row>
    <row r="110" spans="1:6" x14ac:dyDescent="0.35">
      <c r="A110" s="23">
        <v>10700</v>
      </c>
      <c r="B110" s="23">
        <v>-54.55</v>
      </c>
      <c r="C110" s="23">
        <v>23723.4</v>
      </c>
      <c r="D110" s="23">
        <v>0.37806400000000001</v>
      </c>
      <c r="E110" s="23">
        <v>296.39499999999998</v>
      </c>
      <c r="F110" s="23">
        <v>1.44328E-5</v>
      </c>
    </row>
    <row r="111" spans="1:6" x14ac:dyDescent="0.35">
      <c r="A111" s="23">
        <v>10800</v>
      </c>
      <c r="B111" s="23">
        <v>-55.2</v>
      </c>
      <c r="C111" s="23">
        <v>23355</v>
      </c>
      <c r="D111" s="23">
        <v>0.373303</v>
      </c>
      <c r="E111" s="23">
        <v>295.95400000000001</v>
      </c>
      <c r="F111" s="23">
        <v>1.4396199999999999E-5</v>
      </c>
    </row>
    <row r="112" spans="1:6" x14ac:dyDescent="0.35">
      <c r="A112" s="23">
        <v>10900</v>
      </c>
      <c r="B112" s="23">
        <v>-55.85</v>
      </c>
      <c r="C112" s="23">
        <v>22991.200000000001</v>
      </c>
      <c r="D112" s="23">
        <v>0.36858800000000003</v>
      </c>
      <c r="E112" s="23">
        <v>295.512</v>
      </c>
      <c r="F112" s="23">
        <v>1.43594E-5</v>
      </c>
    </row>
    <row r="113" spans="1:6" x14ac:dyDescent="0.35">
      <c r="A113" s="23">
        <v>11000</v>
      </c>
      <c r="B113" s="23">
        <v>-56.5</v>
      </c>
      <c r="C113" s="23">
        <v>22632.1</v>
      </c>
      <c r="D113" s="23">
        <v>0.36391800000000002</v>
      </c>
      <c r="E113" s="23">
        <v>295.07</v>
      </c>
      <c r="F113" s="23">
        <v>1.4322600000000001E-5</v>
      </c>
    </row>
    <row r="114" spans="1:6" x14ac:dyDescent="0.35">
      <c r="A114" s="23">
        <v>11100</v>
      </c>
      <c r="B114" s="23">
        <v>-56.5</v>
      </c>
      <c r="C114" s="23">
        <v>22278</v>
      </c>
      <c r="D114" s="23">
        <v>0.35822399999999999</v>
      </c>
      <c r="E114" s="23">
        <v>295.07</v>
      </c>
      <c r="F114" s="23">
        <v>1.4322600000000001E-5</v>
      </c>
    </row>
    <row r="115" spans="1:6" x14ac:dyDescent="0.35">
      <c r="A115" s="23">
        <v>11200</v>
      </c>
      <c r="B115" s="23">
        <v>-56.5</v>
      </c>
      <c r="C115" s="23">
        <v>21929.4</v>
      </c>
      <c r="D115" s="23">
        <v>0.35261999999999999</v>
      </c>
      <c r="E115" s="23">
        <v>295.07</v>
      </c>
      <c r="F115" s="23">
        <v>1.4322600000000001E-5</v>
      </c>
    </row>
    <row r="116" spans="1:6" x14ac:dyDescent="0.35">
      <c r="A116" s="23">
        <v>11300</v>
      </c>
      <c r="B116" s="23">
        <v>-56.5</v>
      </c>
      <c r="C116" s="23">
        <v>21586.3</v>
      </c>
      <c r="D116" s="23">
        <v>0.34710299999999999</v>
      </c>
      <c r="E116" s="23">
        <v>295.07</v>
      </c>
      <c r="F116" s="23">
        <v>1.4322600000000001E-5</v>
      </c>
    </row>
    <row r="117" spans="1:6" x14ac:dyDescent="0.35">
      <c r="A117" s="23">
        <v>11400</v>
      </c>
      <c r="B117" s="23">
        <v>-56.5</v>
      </c>
      <c r="C117" s="23">
        <v>21248.6</v>
      </c>
      <c r="D117" s="23">
        <v>0.341673</v>
      </c>
      <c r="E117" s="23">
        <v>295.07</v>
      </c>
      <c r="F117" s="23">
        <v>1.4322600000000001E-5</v>
      </c>
    </row>
    <row r="118" spans="1:6" x14ac:dyDescent="0.35">
      <c r="A118" s="23">
        <v>11500</v>
      </c>
      <c r="B118" s="23">
        <v>-56.5</v>
      </c>
      <c r="C118" s="23">
        <v>20916.2</v>
      </c>
      <c r="D118" s="23">
        <v>0.33632699999999999</v>
      </c>
      <c r="E118" s="23">
        <v>295.07</v>
      </c>
      <c r="F118" s="23">
        <v>1.4322600000000001E-5</v>
      </c>
    </row>
    <row r="119" spans="1:6" x14ac:dyDescent="0.35">
      <c r="A119" s="23">
        <v>11600</v>
      </c>
      <c r="B119" s="23">
        <v>-56.5</v>
      </c>
      <c r="C119" s="23">
        <v>20589</v>
      </c>
      <c r="D119" s="23">
        <v>0.331065</v>
      </c>
      <c r="E119" s="23">
        <v>295.07</v>
      </c>
      <c r="F119" s="23">
        <v>1.4322600000000001E-5</v>
      </c>
    </row>
    <row r="120" spans="1:6" x14ac:dyDescent="0.35">
      <c r="A120" s="23">
        <v>11700</v>
      </c>
      <c r="B120" s="23">
        <v>-56.5</v>
      </c>
      <c r="C120" s="23">
        <v>20266.8</v>
      </c>
      <c r="D120" s="23">
        <v>0.32588600000000001</v>
      </c>
      <c r="E120" s="23">
        <v>295.07</v>
      </c>
      <c r="F120" s="23">
        <v>1.4322600000000001E-5</v>
      </c>
    </row>
    <row r="121" spans="1:6" x14ac:dyDescent="0.35">
      <c r="A121" s="23">
        <v>11800</v>
      </c>
      <c r="B121" s="23">
        <v>-56.5</v>
      </c>
      <c r="C121" s="23">
        <v>19949.8</v>
      </c>
      <c r="D121" s="23">
        <v>0.32078699999999999</v>
      </c>
      <c r="E121" s="23">
        <v>295.07</v>
      </c>
      <c r="F121" s="23">
        <v>1.4322600000000001E-5</v>
      </c>
    </row>
    <row r="122" spans="1:6" x14ac:dyDescent="0.35">
      <c r="A122" s="23">
        <v>11900</v>
      </c>
      <c r="B122" s="23">
        <v>-56.5</v>
      </c>
      <c r="C122" s="23">
        <v>19637.599999999999</v>
      </c>
      <c r="D122" s="23">
        <v>0.31576799999999999</v>
      </c>
      <c r="E122" s="23">
        <v>295.07</v>
      </c>
      <c r="F122" s="23">
        <v>1.4322600000000001E-5</v>
      </c>
    </row>
    <row r="123" spans="1:6" x14ac:dyDescent="0.35">
      <c r="A123" s="23">
        <v>12000</v>
      </c>
      <c r="B123" s="23">
        <v>-56.5</v>
      </c>
      <c r="C123" s="23">
        <v>19330.400000000001</v>
      </c>
      <c r="D123" s="23">
        <v>0.31082799999999999</v>
      </c>
      <c r="E123" s="23">
        <v>295.07</v>
      </c>
      <c r="F123" s="23">
        <v>1.4322600000000001E-5</v>
      </c>
    </row>
    <row r="124" spans="1:6" x14ac:dyDescent="0.35">
      <c r="A124" s="23">
        <v>12100</v>
      </c>
      <c r="B124" s="23">
        <v>-56.5</v>
      </c>
      <c r="C124" s="23">
        <v>19028</v>
      </c>
      <c r="D124" s="23">
        <v>0.30596499999999999</v>
      </c>
      <c r="E124" s="23">
        <v>295.07</v>
      </c>
      <c r="F124" s="23">
        <v>1.4322600000000001E-5</v>
      </c>
    </row>
    <row r="125" spans="1:6" x14ac:dyDescent="0.35">
      <c r="A125" s="23">
        <v>12200</v>
      </c>
      <c r="B125" s="23">
        <v>-56.5</v>
      </c>
      <c r="C125" s="23">
        <v>18730.3</v>
      </c>
      <c r="D125" s="23">
        <v>0.301178</v>
      </c>
      <c r="E125" s="23">
        <v>295.07</v>
      </c>
      <c r="F125" s="23">
        <v>1.4322600000000001E-5</v>
      </c>
    </row>
    <row r="126" spans="1:6" x14ac:dyDescent="0.35">
      <c r="A126" s="23">
        <v>12300</v>
      </c>
      <c r="B126" s="23">
        <v>-56.5</v>
      </c>
      <c r="C126" s="23">
        <v>18437.2</v>
      </c>
      <c r="D126" s="23">
        <v>0.29646600000000001</v>
      </c>
      <c r="E126" s="23">
        <v>295.07</v>
      </c>
      <c r="F126" s="23">
        <v>1.4322600000000001E-5</v>
      </c>
    </row>
    <row r="127" spans="1:6" x14ac:dyDescent="0.35">
      <c r="A127" s="23">
        <v>12400</v>
      </c>
      <c r="B127" s="23">
        <v>-56.5</v>
      </c>
      <c r="C127" s="23">
        <v>18148.8</v>
      </c>
      <c r="D127" s="23">
        <v>0.29182799999999998</v>
      </c>
      <c r="E127" s="23">
        <v>295.07</v>
      </c>
      <c r="F127" s="23">
        <v>1.4322600000000001E-5</v>
      </c>
    </row>
    <row r="128" spans="1:6" x14ac:dyDescent="0.35">
      <c r="A128" s="23">
        <v>12500</v>
      </c>
      <c r="B128" s="23">
        <v>-56.5</v>
      </c>
      <c r="C128" s="23">
        <v>17864.8</v>
      </c>
      <c r="D128" s="23">
        <v>0.28726200000000002</v>
      </c>
      <c r="E128" s="23">
        <v>295.07</v>
      </c>
      <c r="F128" s="23">
        <v>1.4322600000000001E-5</v>
      </c>
    </row>
    <row r="129" spans="1:6" x14ac:dyDescent="0.35">
      <c r="A129" s="23">
        <v>12600</v>
      </c>
      <c r="B129" s="23">
        <v>-56.5</v>
      </c>
      <c r="C129" s="23">
        <v>17585.400000000001</v>
      </c>
      <c r="D129" s="23">
        <v>0.28276800000000002</v>
      </c>
      <c r="E129" s="23">
        <v>295.07</v>
      </c>
      <c r="F129" s="23">
        <v>1.4322600000000001E-5</v>
      </c>
    </row>
    <row r="130" spans="1:6" x14ac:dyDescent="0.35">
      <c r="A130" s="23">
        <v>12700</v>
      </c>
      <c r="B130" s="23">
        <v>-56.5</v>
      </c>
      <c r="C130" s="23">
        <v>17310.2</v>
      </c>
      <c r="D130" s="23">
        <v>0.27834399999999998</v>
      </c>
      <c r="E130" s="23">
        <v>295.07</v>
      </c>
      <c r="F130" s="23">
        <v>1.4322600000000001E-5</v>
      </c>
    </row>
    <row r="131" spans="1:6" x14ac:dyDescent="0.35">
      <c r="A131" s="23">
        <v>12800</v>
      </c>
      <c r="B131" s="23">
        <v>-56.5</v>
      </c>
      <c r="C131" s="23">
        <v>17039.400000000001</v>
      </c>
      <c r="D131" s="23">
        <v>0.27398899999999998</v>
      </c>
      <c r="E131" s="23">
        <v>295.07</v>
      </c>
      <c r="F131" s="23">
        <v>1.4322600000000001E-5</v>
      </c>
    </row>
    <row r="132" spans="1:6" x14ac:dyDescent="0.35">
      <c r="A132" s="23">
        <v>12900</v>
      </c>
      <c r="B132" s="23">
        <v>-56.5</v>
      </c>
      <c r="C132" s="23">
        <v>16772.8</v>
      </c>
      <c r="D132" s="23">
        <v>0.26970300000000003</v>
      </c>
      <c r="E132" s="23">
        <v>295.07</v>
      </c>
      <c r="F132" s="23">
        <v>1.4322600000000001E-5</v>
      </c>
    </row>
    <row r="133" spans="1:6" x14ac:dyDescent="0.35">
      <c r="A133" s="23">
        <v>13000</v>
      </c>
      <c r="B133" s="23">
        <v>-56.5</v>
      </c>
      <c r="C133" s="23">
        <v>16510.400000000001</v>
      </c>
      <c r="D133" s="23">
        <v>0.26548300000000002</v>
      </c>
      <c r="E133" s="23">
        <v>295.07</v>
      </c>
      <c r="F133" s="23">
        <v>1.4322600000000001E-5</v>
      </c>
    </row>
    <row r="134" spans="1:6" x14ac:dyDescent="0.35">
      <c r="A134" s="23">
        <v>13100</v>
      </c>
      <c r="B134" s="23">
        <v>-56.5</v>
      </c>
      <c r="C134" s="23">
        <v>16252.1</v>
      </c>
      <c r="D134" s="23">
        <v>0.26133000000000001</v>
      </c>
      <c r="E134" s="23">
        <v>295.07</v>
      </c>
      <c r="F134" s="23">
        <v>1.4322600000000001E-5</v>
      </c>
    </row>
    <row r="135" spans="1:6" x14ac:dyDescent="0.35">
      <c r="A135" s="23">
        <v>13200</v>
      </c>
      <c r="B135" s="23">
        <v>-56.5</v>
      </c>
      <c r="C135" s="23">
        <v>15997.8</v>
      </c>
      <c r="D135" s="23">
        <v>0.257241</v>
      </c>
      <c r="E135" s="23">
        <v>295.07</v>
      </c>
      <c r="F135" s="23">
        <v>1.4322600000000001E-5</v>
      </c>
    </row>
    <row r="136" spans="1:6" x14ac:dyDescent="0.35">
      <c r="A136" s="23">
        <v>13300</v>
      </c>
      <c r="B136" s="23">
        <v>-56.5</v>
      </c>
      <c r="C136" s="23">
        <v>15747.5</v>
      </c>
      <c r="D136" s="23">
        <v>0.25321700000000003</v>
      </c>
      <c r="E136" s="23">
        <v>295.07</v>
      </c>
      <c r="F136" s="23">
        <v>1.4322600000000001E-5</v>
      </c>
    </row>
    <row r="137" spans="1:6" x14ac:dyDescent="0.35">
      <c r="A137" s="23">
        <v>13400</v>
      </c>
      <c r="B137" s="23">
        <v>-56.5</v>
      </c>
      <c r="C137" s="23">
        <v>15501.2</v>
      </c>
      <c r="D137" s="23">
        <v>0.249255</v>
      </c>
      <c r="E137" s="23">
        <v>295.07</v>
      </c>
      <c r="F137" s="23">
        <v>1.4322600000000001E-5</v>
      </c>
    </row>
    <row r="138" spans="1:6" x14ac:dyDescent="0.35">
      <c r="A138" s="23">
        <v>13500</v>
      </c>
      <c r="B138" s="23">
        <v>-56.5</v>
      </c>
      <c r="C138" s="23">
        <v>15258.7</v>
      </c>
      <c r="D138" s="23">
        <v>0.24535499999999999</v>
      </c>
      <c r="E138" s="23">
        <v>295.07</v>
      </c>
      <c r="F138" s="23">
        <v>1.4322600000000001E-5</v>
      </c>
    </row>
    <row r="139" spans="1:6" x14ac:dyDescent="0.35">
      <c r="A139" s="23">
        <v>13600</v>
      </c>
      <c r="B139" s="23">
        <v>-56.5</v>
      </c>
      <c r="C139" s="23">
        <v>15019.9</v>
      </c>
      <c r="D139" s="23">
        <v>0.24151700000000001</v>
      </c>
      <c r="E139" s="23">
        <v>295.07</v>
      </c>
      <c r="F139" s="23">
        <v>1.4322600000000001E-5</v>
      </c>
    </row>
    <row r="140" spans="1:6" x14ac:dyDescent="0.35">
      <c r="A140" s="23">
        <v>13700</v>
      </c>
      <c r="B140" s="23">
        <v>-56.5</v>
      </c>
      <c r="C140" s="23">
        <v>14784.9</v>
      </c>
      <c r="D140" s="23">
        <v>0.237738</v>
      </c>
      <c r="E140" s="23">
        <v>295.07</v>
      </c>
      <c r="F140" s="23">
        <v>1.4322600000000001E-5</v>
      </c>
    </row>
    <row r="141" spans="1:6" x14ac:dyDescent="0.35">
      <c r="A141" s="23">
        <v>13800</v>
      </c>
      <c r="B141" s="23">
        <v>-56.5</v>
      </c>
      <c r="C141" s="23">
        <v>14553.6</v>
      </c>
      <c r="D141" s="23">
        <v>0.234019</v>
      </c>
      <c r="E141" s="23">
        <v>295.07</v>
      </c>
      <c r="F141" s="23">
        <v>1.4322600000000001E-5</v>
      </c>
    </row>
    <row r="142" spans="1:6" x14ac:dyDescent="0.35">
      <c r="A142" s="23">
        <v>13900</v>
      </c>
      <c r="B142" s="23">
        <v>-56.5</v>
      </c>
      <c r="C142" s="23">
        <v>14325.9</v>
      </c>
      <c r="D142" s="23">
        <v>0.23035700000000001</v>
      </c>
      <c r="E142" s="23">
        <v>295.07</v>
      </c>
      <c r="F142" s="23">
        <v>1.4322600000000001E-5</v>
      </c>
    </row>
    <row r="143" spans="1:6" x14ac:dyDescent="0.35">
      <c r="A143" s="23">
        <v>14000</v>
      </c>
      <c r="B143" s="23">
        <v>-56.5</v>
      </c>
      <c r="C143" s="23">
        <v>14101.8</v>
      </c>
      <c r="D143" s="23">
        <v>0.22675300000000001</v>
      </c>
      <c r="E143" s="23">
        <v>295.07</v>
      </c>
      <c r="F143" s="23">
        <v>1.4322600000000001E-5</v>
      </c>
    </row>
    <row r="144" spans="1:6" x14ac:dyDescent="0.35">
      <c r="A144" s="23">
        <v>14100</v>
      </c>
      <c r="B144" s="23">
        <v>-56.5</v>
      </c>
      <c r="C144" s="23">
        <v>13881.2</v>
      </c>
      <c r="D144" s="23">
        <v>0.22320599999999999</v>
      </c>
      <c r="E144" s="23">
        <v>295.07</v>
      </c>
      <c r="F144" s="23">
        <v>1.4322600000000001E-5</v>
      </c>
    </row>
    <row r="145" spans="1:6" x14ac:dyDescent="0.35">
      <c r="A145" s="23">
        <v>14200</v>
      </c>
      <c r="B145" s="23">
        <v>-56.5</v>
      </c>
      <c r="C145" s="23">
        <v>13664</v>
      </c>
      <c r="D145" s="23">
        <v>0.21971399999999999</v>
      </c>
      <c r="E145" s="23">
        <v>295.07</v>
      </c>
      <c r="F145" s="23">
        <v>1.4322600000000001E-5</v>
      </c>
    </row>
    <row r="146" spans="1:6" x14ac:dyDescent="0.35">
      <c r="A146" s="23">
        <v>14300</v>
      </c>
      <c r="B146" s="23">
        <v>-56.5</v>
      </c>
      <c r="C146" s="23">
        <v>13450.2</v>
      </c>
      <c r="D146" s="23">
        <v>0.216276</v>
      </c>
      <c r="E146" s="23">
        <v>295.07</v>
      </c>
      <c r="F146" s="23">
        <v>1.4322600000000001E-5</v>
      </c>
    </row>
    <row r="147" spans="1:6" x14ac:dyDescent="0.35">
      <c r="A147" s="23">
        <v>14400</v>
      </c>
      <c r="B147" s="23">
        <v>-56.5</v>
      </c>
      <c r="C147" s="23">
        <v>13239.8</v>
      </c>
      <c r="D147" s="23">
        <v>0.212893</v>
      </c>
      <c r="E147" s="23">
        <v>295.07</v>
      </c>
      <c r="F147" s="23">
        <v>1.4322600000000001E-5</v>
      </c>
    </row>
    <row r="148" spans="1:6" x14ac:dyDescent="0.35">
      <c r="A148" s="23">
        <v>14500</v>
      </c>
      <c r="B148" s="23">
        <v>-56.5</v>
      </c>
      <c r="C148" s="23">
        <v>13032.7</v>
      </c>
      <c r="D148" s="23">
        <v>0.209562</v>
      </c>
      <c r="E148" s="23">
        <v>295.07</v>
      </c>
      <c r="F148" s="23">
        <v>1.4322600000000001E-5</v>
      </c>
    </row>
    <row r="149" spans="1:6" x14ac:dyDescent="0.35">
      <c r="A149" s="23">
        <v>14600</v>
      </c>
      <c r="B149" s="23">
        <v>-56.5</v>
      </c>
      <c r="C149" s="23">
        <v>12828.8</v>
      </c>
      <c r="D149" s="23">
        <v>0.20628299999999999</v>
      </c>
      <c r="E149" s="23">
        <v>295.07</v>
      </c>
      <c r="F149" s="23">
        <v>1.4322600000000001E-5</v>
      </c>
    </row>
    <row r="150" spans="1:6" x14ac:dyDescent="0.35">
      <c r="A150" s="23">
        <v>14700</v>
      </c>
      <c r="B150" s="23">
        <v>-56.5</v>
      </c>
      <c r="C150" s="23">
        <v>12628.1</v>
      </c>
      <c r="D150" s="23">
        <v>0.20305599999999999</v>
      </c>
      <c r="E150" s="23">
        <v>295.07</v>
      </c>
      <c r="F150" s="23">
        <v>1.4322600000000001E-5</v>
      </c>
    </row>
    <row r="151" spans="1:6" x14ac:dyDescent="0.35">
      <c r="A151" s="23">
        <v>14800</v>
      </c>
      <c r="B151" s="23">
        <v>-56.5</v>
      </c>
      <c r="C151" s="23">
        <v>12430.5</v>
      </c>
      <c r="D151" s="23">
        <v>0.199879</v>
      </c>
      <c r="E151" s="23">
        <v>295.07</v>
      </c>
      <c r="F151" s="23">
        <v>1.4322600000000001E-5</v>
      </c>
    </row>
    <row r="152" spans="1:6" x14ac:dyDescent="0.35">
      <c r="A152" s="23">
        <v>14900</v>
      </c>
      <c r="B152" s="23">
        <v>-56.5</v>
      </c>
      <c r="C152" s="23">
        <v>12236</v>
      </c>
      <c r="D152" s="23">
        <v>0.19675200000000001</v>
      </c>
      <c r="E152" s="23">
        <v>295.07</v>
      </c>
      <c r="F152" s="23">
        <v>1.4322600000000001E-5</v>
      </c>
    </row>
    <row r="153" spans="1:6" x14ac:dyDescent="0.35">
      <c r="A153" s="23">
        <v>15000</v>
      </c>
      <c r="B153" s="23">
        <v>-56.5</v>
      </c>
      <c r="C153" s="23">
        <v>12044.6</v>
      </c>
      <c r="D153" s="23">
        <v>0.19367400000000001</v>
      </c>
      <c r="E153" s="23">
        <v>295.07</v>
      </c>
      <c r="F153" s="23">
        <v>1.4322600000000001E-5</v>
      </c>
    </row>
    <row r="154" spans="1:6" x14ac:dyDescent="0.35">
      <c r="A154" s="23"/>
      <c r="B154" s="23"/>
      <c r="C154" s="23"/>
      <c r="D154" s="23"/>
      <c r="E154" s="23"/>
      <c r="F154" s="24"/>
    </row>
    <row r="155" spans="1:6" x14ac:dyDescent="0.35">
      <c r="A155" s="23"/>
      <c r="B155" s="23"/>
      <c r="C155" s="23"/>
      <c r="D155" s="23"/>
      <c r="E155" s="23"/>
      <c r="F155" s="24"/>
    </row>
    <row r="156" spans="1:6" x14ac:dyDescent="0.35">
      <c r="A156" s="23"/>
      <c r="B156" s="23"/>
      <c r="C156" s="23"/>
      <c r="D156" s="23"/>
      <c r="E156" s="23"/>
      <c r="F156" s="24"/>
    </row>
    <row r="157" spans="1:6" x14ac:dyDescent="0.35">
      <c r="A157" s="23"/>
      <c r="B157" s="23"/>
      <c r="C157" s="23"/>
      <c r="D157" s="23"/>
      <c r="E157" s="23"/>
      <c r="F157" s="24"/>
    </row>
    <row r="158" spans="1:6" x14ac:dyDescent="0.35">
      <c r="A158" s="23"/>
      <c r="B158" s="23"/>
      <c r="C158" s="23"/>
      <c r="D158" s="23"/>
      <c r="E158" s="23"/>
      <c r="F158" s="24"/>
    </row>
    <row r="159" spans="1:6" x14ac:dyDescent="0.35">
      <c r="A159" s="23"/>
      <c r="B159" s="23"/>
      <c r="C159" s="23"/>
      <c r="D159" s="23"/>
      <c r="E159" s="23"/>
      <c r="F159" s="24"/>
    </row>
    <row r="160" spans="1:6" x14ac:dyDescent="0.35">
      <c r="A160" s="23"/>
      <c r="B160" s="23"/>
      <c r="C160" s="23"/>
      <c r="D160" s="23"/>
      <c r="E160" s="23"/>
      <c r="F160" s="24"/>
    </row>
    <row r="161" spans="1:6" x14ac:dyDescent="0.35">
      <c r="A161" s="23"/>
      <c r="B161" s="23"/>
      <c r="C161" s="23"/>
      <c r="D161" s="23"/>
      <c r="E161" s="23"/>
      <c r="F161" s="24"/>
    </row>
    <row r="162" spans="1:6" x14ac:dyDescent="0.35">
      <c r="A162" s="23"/>
      <c r="B162" s="23"/>
      <c r="C162" s="23"/>
      <c r="D162" s="23"/>
      <c r="E162" s="23"/>
      <c r="F162" s="24"/>
    </row>
    <row r="163" spans="1:6" x14ac:dyDescent="0.35">
      <c r="A163" s="23"/>
      <c r="B163" s="23"/>
      <c r="C163" s="23"/>
      <c r="D163" s="23"/>
      <c r="E163" s="23"/>
      <c r="F163" s="24"/>
    </row>
    <row r="164" spans="1:6" x14ac:dyDescent="0.35">
      <c r="A164" s="23"/>
      <c r="B164" s="23"/>
      <c r="C164" s="23"/>
      <c r="D164" s="23"/>
      <c r="E164" s="23"/>
      <c r="F164" s="24"/>
    </row>
    <row r="165" spans="1:6" x14ac:dyDescent="0.35">
      <c r="A165" s="23"/>
      <c r="B165" s="23"/>
      <c r="C165" s="23"/>
      <c r="D165" s="23"/>
      <c r="E165" s="23"/>
      <c r="F165" s="24"/>
    </row>
    <row r="166" spans="1:6" x14ac:dyDescent="0.35">
      <c r="A166" s="23"/>
      <c r="B166" s="23"/>
      <c r="C166" s="23"/>
      <c r="D166" s="23"/>
      <c r="E166" s="23"/>
      <c r="F166" s="24"/>
    </row>
    <row r="167" spans="1:6" x14ac:dyDescent="0.35">
      <c r="A167" s="23"/>
      <c r="B167" s="23"/>
      <c r="C167" s="23"/>
      <c r="D167" s="23"/>
      <c r="E167" s="23"/>
      <c r="F167" s="24"/>
    </row>
    <row r="168" spans="1:6" x14ac:dyDescent="0.35">
      <c r="A168" s="23"/>
      <c r="B168" s="23"/>
      <c r="C168" s="23"/>
      <c r="D168" s="23"/>
      <c r="E168" s="23"/>
      <c r="F168" s="24"/>
    </row>
    <row r="169" spans="1:6" x14ac:dyDescent="0.35">
      <c r="A169" s="23"/>
      <c r="B169" s="23"/>
      <c r="C169" s="23"/>
      <c r="D169" s="23"/>
      <c r="E169" s="23"/>
      <c r="F169" s="24"/>
    </row>
    <row r="170" spans="1:6" x14ac:dyDescent="0.35">
      <c r="A170" s="23"/>
      <c r="B170" s="23"/>
      <c r="C170" s="23"/>
      <c r="D170" s="23"/>
      <c r="E170" s="23"/>
      <c r="F170" s="24"/>
    </row>
    <row r="171" spans="1:6" x14ac:dyDescent="0.35">
      <c r="A171" s="23"/>
      <c r="B171" s="23"/>
      <c r="C171" s="23"/>
      <c r="D171" s="23"/>
      <c r="E171" s="23"/>
      <c r="F171" s="24"/>
    </row>
    <row r="172" spans="1:6" x14ac:dyDescent="0.35">
      <c r="A172" s="23"/>
      <c r="B172" s="23"/>
      <c r="C172" s="23"/>
      <c r="D172" s="23"/>
      <c r="E172" s="23"/>
      <c r="F172" s="24"/>
    </row>
    <row r="173" spans="1:6" x14ac:dyDescent="0.35">
      <c r="A173" s="23"/>
      <c r="B173" s="23"/>
      <c r="C173" s="23"/>
      <c r="D173" s="23"/>
      <c r="E173" s="23"/>
      <c r="F173" s="24"/>
    </row>
    <row r="174" spans="1:6" x14ac:dyDescent="0.35">
      <c r="A174" s="23"/>
      <c r="B174" s="23"/>
      <c r="C174" s="23"/>
      <c r="D174" s="23"/>
      <c r="E174" s="23"/>
      <c r="F174" s="24"/>
    </row>
    <row r="175" spans="1:6" x14ac:dyDescent="0.35">
      <c r="A175" s="23"/>
      <c r="B175" s="23"/>
      <c r="C175" s="23"/>
      <c r="D175" s="23"/>
      <c r="E175" s="23"/>
      <c r="F175" s="24"/>
    </row>
    <row r="176" spans="1:6" x14ac:dyDescent="0.35">
      <c r="A176" s="23"/>
      <c r="B176" s="23"/>
      <c r="C176" s="23"/>
      <c r="D176" s="23"/>
      <c r="E176" s="23"/>
      <c r="F176" s="24"/>
    </row>
    <row r="177" spans="1:6" x14ac:dyDescent="0.35">
      <c r="A177" s="23"/>
      <c r="B177" s="23"/>
      <c r="C177" s="23"/>
      <c r="D177" s="23"/>
      <c r="E177" s="23"/>
      <c r="F177" s="24"/>
    </row>
    <row r="178" spans="1:6" x14ac:dyDescent="0.35">
      <c r="A178" s="23"/>
      <c r="B178" s="23"/>
      <c r="C178" s="23"/>
      <c r="D178" s="23"/>
      <c r="E178" s="23"/>
      <c r="F178" s="24"/>
    </row>
    <row r="179" spans="1:6" x14ac:dyDescent="0.35">
      <c r="A179" s="23"/>
      <c r="B179" s="23"/>
      <c r="C179" s="23"/>
      <c r="D179" s="23"/>
      <c r="E179" s="23"/>
      <c r="F179" s="24"/>
    </row>
    <row r="180" spans="1:6" x14ac:dyDescent="0.35">
      <c r="A180" s="23"/>
      <c r="B180" s="23"/>
      <c r="C180" s="23"/>
      <c r="D180" s="23"/>
      <c r="E180" s="23"/>
      <c r="F180" s="24"/>
    </row>
    <row r="181" spans="1:6" x14ac:dyDescent="0.35">
      <c r="A181" s="23"/>
      <c r="B181" s="23"/>
      <c r="C181" s="23"/>
      <c r="D181" s="23"/>
      <c r="E181" s="23"/>
      <c r="F181" s="24"/>
    </row>
    <row r="182" spans="1:6" x14ac:dyDescent="0.35">
      <c r="A182" s="23"/>
      <c r="B182" s="23"/>
      <c r="C182" s="23"/>
      <c r="D182" s="23"/>
      <c r="E182" s="23"/>
      <c r="F182" s="24"/>
    </row>
    <row r="183" spans="1:6" x14ac:dyDescent="0.35">
      <c r="A183" s="23"/>
      <c r="B183" s="23"/>
      <c r="C183" s="23"/>
      <c r="D183" s="23"/>
      <c r="E183" s="23"/>
      <c r="F183" s="24"/>
    </row>
    <row r="184" spans="1:6" x14ac:dyDescent="0.35">
      <c r="A184" s="23"/>
      <c r="B184" s="23"/>
      <c r="C184" s="23"/>
      <c r="D184" s="23"/>
      <c r="E184" s="23"/>
      <c r="F184" s="24"/>
    </row>
    <row r="185" spans="1:6" x14ac:dyDescent="0.35">
      <c r="A185" s="23"/>
      <c r="B185" s="23"/>
      <c r="C185" s="23"/>
      <c r="D185" s="23"/>
      <c r="E185" s="23"/>
      <c r="F185" s="24"/>
    </row>
    <row r="186" spans="1:6" x14ac:dyDescent="0.35">
      <c r="A186" s="23"/>
      <c r="B186" s="23"/>
      <c r="C186" s="23"/>
      <c r="D186" s="23"/>
      <c r="E186" s="23"/>
      <c r="F186" s="24"/>
    </row>
    <row r="187" spans="1:6" x14ac:dyDescent="0.35">
      <c r="A187" s="23"/>
      <c r="B187" s="23"/>
      <c r="C187" s="23"/>
      <c r="D187" s="23"/>
      <c r="E187" s="23"/>
      <c r="F187" s="24"/>
    </row>
    <row r="188" spans="1:6" x14ac:dyDescent="0.35">
      <c r="A188" s="23"/>
      <c r="B188" s="23"/>
      <c r="C188" s="23"/>
      <c r="D188" s="23"/>
      <c r="E188" s="23"/>
      <c r="F188" s="24"/>
    </row>
    <row r="189" spans="1:6" x14ac:dyDescent="0.35">
      <c r="A189" s="23"/>
      <c r="B189" s="23"/>
      <c r="C189" s="23"/>
      <c r="D189" s="23"/>
      <c r="E189" s="23"/>
      <c r="F189" s="24"/>
    </row>
    <row r="190" spans="1:6" x14ac:dyDescent="0.35">
      <c r="A190" s="23"/>
      <c r="B190" s="23"/>
      <c r="C190" s="23"/>
      <c r="D190" s="23"/>
      <c r="E190" s="23"/>
      <c r="F190" s="24"/>
    </row>
    <row r="191" spans="1:6" x14ac:dyDescent="0.35">
      <c r="A191" s="23"/>
      <c r="B191" s="23"/>
      <c r="C191" s="23"/>
      <c r="D191" s="23"/>
      <c r="E191" s="23"/>
      <c r="F191" s="24"/>
    </row>
    <row r="192" spans="1:6" x14ac:dyDescent="0.35">
      <c r="A192" s="23"/>
      <c r="B192" s="23"/>
      <c r="C192" s="23"/>
      <c r="D192" s="23"/>
      <c r="E192" s="23"/>
      <c r="F192" s="24"/>
    </row>
    <row r="193" spans="1:6" x14ac:dyDescent="0.35">
      <c r="A193" s="23"/>
      <c r="B193" s="23"/>
      <c r="C193" s="23"/>
      <c r="D193" s="23"/>
      <c r="E193" s="23"/>
      <c r="F193" s="24"/>
    </row>
    <row r="194" spans="1:6" x14ac:dyDescent="0.35">
      <c r="A194" s="23"/>
      <c r="B194" s="23"/>
      <c r="C194" s="23"/>
      <c r="D194" s="23"/>
      <c r="E194" s="23"/>
      <c r="F194" s="24"/>
    </row>
    <row r="195" spans="1:6" x14ac:dyDescent="0.35">
      <c r="A195" s="23"/>
      <c r="B195" s="23"/>
      <c r="C195" s="23"/>
      <c r="D195" s="23"/>
      <c r="E195" s="23"/>
      <c r="F195" s="24"/>
    </row>
    <row r="196" spans="1:6" x14ac:dyDescent="0.35">
      <c r="A196" s="23"/>
      <c r="B196" s="23"/>
      <c r="C196" s="23"/>
      <c r="D196" s="23"/>
      <c r="E196" s="23"/>
      <c r="F196" s="24"/>
    </row>
    <row r="197" spans="1:6" x14ac:dyDescent="0.35">
      <c r="A197" s="23"/>
      <c r="B197" s="23"/>
      <c r="C197" s="23"/>
      <c r="D197" s="23"/>
      <c r="E197" s="23"/>
      <c r="F197" s="24"/>
    </row>
    <row r="198" spans="1:6" x14ac:dyDescent="0.35">
      <c r="A198" s="23"/>
      <c r="B198" s="23"/>
      <c r="C198" s="23"/>
      <c r="D198" s="23"/>
      <c r="E198" s="23"/>
      <c r="F198" s="24"/>
    </row>
    <row r="199" spans="1:6" x14ac:dyDescent="0.35">
      <c r="A199" s="23"/>
      <c r="B199" s="23"/>
      <c r="C199" s="23"/>
      <c r="D199" s="23"/>
      <c r="E199" s="23"/>
      <c r="F199" s="24"/>
    </row>
    <row r="200" spans="1:6" x14ac:dyDescent="0.35">
      <c r="A200" s="23"/>
      <c r="B200" s="23"/>
      <c r="C200" s="23"/>
      <c r="D200" s="23"/>
      <c r="E200" s="23"/>
      <c r="F200" s="24"/>
    </row>
    <row r="201" spans="1:6" x14ac:dyDescent="0.35">
      <c r="A201" s="23"/>
      <c r="B201" s="23"/>
      <c r="C201" s="23"/>
      <c r="D201" s="23"/>
      <c r="E201" s="23"/>
      <c r="F201" s="24"/>
    </row>
    <row r="202" spans="1:6" x14ac:dyDescent="0.35">
      <c r="A202" s="23"/>
      <c r="B202" s="23"/>
      <c r="C202" s="23"/>
      <c r="D202" s="23"/>
      <c r="E202" s="23"/>
      <c r="F202" s="24"/>
    </row>
    <row r="203" spans="1:6" x14ac:dyDescent="0.35">
      <c r="A203" s="23"/>
      <c r="B203" s="23"/>
      <c r="C203" s="23"/>
      <c r="D203" s="23"/>
      <c r="E203" s="23"/>
      <c r="F203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Trade Study 1</vt:lpstr>
      <vt:lpstr>Trade Study 2</vt:lpstr>
      <vt:lpstr>Trade Study 3</vt:lpstr>
      <vt:lpstr>Trade Study 4</vt:lpstr>
      <vt:lpstr>Trade Study 5</vt:lpstr>
      <vt:lpstr>STDATM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K Mah</dc:creator>
  <cp:lastModifiedBy>Evan Karen</cp:lastModifiedBy>
  <dcterms:created xsi:type="dcterms:W3CDTF">2023-09-21T20:17:38Z</dcterms:created>
  <dcterms:modified xsi:type="dcterms:W3CDTF">2025-03-13T17:45:25Z</dcterms:modified>
</cp:coreProperties>
</file>